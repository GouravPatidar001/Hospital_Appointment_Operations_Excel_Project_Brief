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60 Days Data Analyst\Day 12\"/>
    </mc:Choice>
  </mc:AlternateContent>
  <xr:revisionPtr revIDLastSave="0" documentId="8_{451F6DC7-524B-45A9-8FCB-7925B3C329A1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3" sheetId="5" r:id="rId1"/>
    <sheet name="Raw_Data" sheetId="1" r:id="rId2"/>
    <sheet name="Dashboard" sheetId="28" r:id="rId3"/>
    <sheet name="Project_Info" sheetId="2" r:id="rId4"/>
  </sheets>
  <definedNames>
    <definedName name="_xlnm._FilterDatabase" localSheetId="1" hidden="1">Raw_Data!$A$1:$J$498</definedName>
    <definedName name="_xlcn.WorksheetConnection_Raw_DataA1L4981" hidden="1">Raw_Data!$A$1:$L$498</definedName>
    <definedName name="_xlcn.WorksheetConnection_RealWorldProject.xlsxTable11" hidden="1">Table1[]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Real World Project.xlsx!Table1"/>
          <x15:modelTable id="Range" name="Range" connection="WorksheetConnection_Raw_Data!$A$1:$L$498"/>
        </x15:modelTables>
        <x15:modelRelationships>
          <x15:modelRelationship fromTable="Table1" fromColumn="Appointment ID" toTable="Range" toColumn="Appointmen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J15" i="5" l="1"/>
  <c r="CJ14" i="5"/>
  <c r="CJ13" i="5"/>
  <c r="CJ12" i="5"/>
  <c r="BW21" i="5"/>
  <c r="BW20" i="5"/>
  <c r="BW19" i="5"/>
  <c r="BW18" i="5"/>
  <c r="BW17" i="5"/>
  <c r="BW16" i="5"/>
  <c r="BW15" i="5"/>
  <c r="BW14" i="5"/>
  <c r="BW13" i="5"/>
  <c r="BW12" i="5"/>
  <c r="BW11" i="5"/>
  <c r="BP12" i="5"/>
  <c r="BP13" i="5"/>
  <c r="BP14" i="5"/>
  <c r="BP15" i="5"/>
  <c r="BP11" i="5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2" i="1"/>
  <c r="BD17" i="5"/>
  <c r="BD16" i="5"/>
  <c r="BD15" i="5"/>
  <c r="BD14" i="5"/>
  <c r="BD13" i="5"/>
  <c r="BD12" i="5"/>
  <c r="BD11" i="5"/>
  <c r="BD10" i="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2" i="1"/>
  <c r="A509" i="1"/>
  <c r="AM8" i="5"/>
  <c r="AM9" i="5"/>
  <c r="AM7" i="5"/>
  <c r="AL8" i="5"/>
  <c r="AL7" i="5"/>
  <c r="X8" i="5"/>
  <c r="X9" i="5"/>
  <c r="X10" i="5"/>
  <c r="X11" i="5"/>
  <c r="X12" i="5"/>
  <c r="X13" i="5"/>
  <c r="X7" i="5"/>
  <c r="Y8" i="5"/>
  <c r="Y9" i="5"/>
  <c r="Y10" i="5"/>
  <c r="Y11" i="5"/>
  <c r="Y12" i="5"/>
  <c r="Y13" i="5"/>
  <c r="Y7" i="5"/>
  <c r="D503" i="1"/>
  <c r="B503" i="1"/>
  <c r="C504" i="1"/>
  <c r="C503" i="1"/>
  <c r="C505" i="1"/>
  <c r="B505" i="1"/>
  <c r="B504" i="1"/>
  <c r="B506" i="1" l="1"/>
  <c r="E5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322902-861F-4458-A163-5D79582057C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9F99415-E015-4C9F-9E25-EEEA0806E94B}" name="WorksheetConnection_Raw_Data!$A$1:$L$49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_DataA1L4981"/>
        </x15:connection>
      </ext>
    </extLst>
  </connection>
  <connection id="3" xr16:uid="{4DDBB675-4843-4828-946E-8E3E85647496}" name="WorksheetConnection_Real World Projec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ealWorldProject.xlsxTable11"/>
        </x15:connection>
      </ext>
    </extLst>
  </connection>
</connections>
</file>

<file path=xl/sharedStrings.xml><?xml version="1.0" encoding="utf-8"?>
<sst xmlns="http://schemas.openxmlformats.org/spreadsheetml/2006/main" count="3751" uniqueCount="809">
  <si>
    <t>Appointment ID</t>
  </si>
  <si>
    <t>Patient ID</t>
  </si>
  <si>
    <t>Appointment Date &amp; Time</t>
  </si>
  <si>
    <t>Doctor</t>
  </si>
  <si>
    <t>Department</t>
  </si>
  <si>
    <t>City</t>
  </si>
  <si>
    <t>Status</t>
  </si>
  <si>
    <t>Wait Time (min)</t>
  </si>
  <si>
    <t>Fee</t>
  </si>
  <si>
    <t>Patient Type</t>
  </si>
  <si>
    <t>A10001</t>
  </si>
  <si>
    <t>P1174</t>
  </si>
  <si>
    <t>Dr. Sharma</t>
  </si>
  <si>
    <t>Cardiology</t>
  </si>
  <si>
    <t>Indore</t>
  </si>
  <si>
    <t>Completed</t>
  </si>
  <si>
    <t>Returning</t>
  </si>
  <si>
    <t>A10002</t>
  </si>
  <si>
    <t>P1007</t>
  </si>
  <si>
    <t>Bhopal</t>
  </si>
  <si>
    <t>Cancelled</t>
  </si>
  <si>
    <t>A10003</t>
  </si>
  <si>
    <t>P1088</t>
  </si>
  <si>
    <t>Dr. Joshi</t>
  </si>
  <si>
    <t>Orthopedics</t>
  </si>
  <si>
    <t>Dhar</t>
  </si>
  <si>
    <t>New</t>
  </si>
  <si>
    <t>A10004</t>
  </si>
  <si>
    <t>P1217</t>
  </si>
  <si>
    <t>A10005</t>
  </si>
  <si>
    <t>P1076</t>
  </si>
  <si>
    <t>Dr. Mehta</t>
  </si>
  <si>
    <t>A10006</t>
  </si>
  <si>
    <t>P1222</t>
  </si>
  <si>
    <t>A10007</t>
  </si>
  <si>
    <t>P1054</t>
  </si>
  <si>
    <t>Dr. Patel</t>
  </si>
  <si>
    <t>Pediatrics</t>
  </si>
  <si>
    <t>A10008</t>
  </si>
  <si>
    <t>P1070</t>
  </si>
  <si>
    <t>Dr. Gupta</t>
  </si>
  <si>
    <t>General Medicine</t>
  </si>
  <si>
    <t>A10009</t>
  </si>
  <si>
    <t>P1055</t>
  </si>
  <si>
    <t>A10010</t>
  </si>
  <si>
    <t>P1064</t>
  </si>
  <si>
    <t>Dr. Singh</t>
  </si>
  <si>
    <t>Dermatology</t>
  </si>
  <si>
    <t>A10011</t>
  </si>
  <si>
    <t>P1024</t>
  </si>
  <si>
    <t>Dr. Shah</t>
  </si>
  <si>
    <t>A10012</t>
  </si>
  <si>
    <t>P1153</t>
  </si>
  <si>
    <t>Dr. Verma</t>
  </si>
  <si>
    <t>Ujjain</t>
  </si>
  <si>
    <t>A10013</t>
  </si>
  <si>
    <t>P1029</t>
  </si>
  <si>
    <t>No Show</t>
  </si>
  <si>
    <t>A10014</t>
  </si>
  <si>
    <t>P1223</t>
  </si>
  <si>
    <t>A10015</t>
  </si>
  <si>
    <t>P1126</t>
  </si>
  <si>
    <t>A10016</t>
  </si>
  <si>
    <t>P1022</t>
  </si>
  <si>
    <t>A10017</t>
  </si>
  <si>
    <t>P1224</t>
  </si>
  <si>
    <t>A10018</t>
  </si>
  <si>
    <t>P1116</t>
  </si>
  <si>
    <t>A10019</t>
  </si>
  <si>
    <t>P1002</t>
  </si>
  <si>
    <t>A10020</t>
  </si>
  <si>
    <t>P1072</t>
  </si>
  <si>
    <t>A10021</t>
  </si>
  <si>
    <t>P1207</t>
  </si>
  <si>
    <t>A10022</t>
  </si>
  <si>
    <t>P1120</t>
  </si>
  <si>
    <t>A10023</t>
  </si>
  <si>
    <t>P1138</t>
  </si>
  <si>
    <t>A10024</t>
  </si>
  <si>
    <t>Dr. Rao</t>
  </si>
  <si>
    <t>A10025</t>
  </si>
  <si>
    <t>P1124</t>
  </si>
  <si>
    <t>A10026</t>
  </si>
  <si>
    <t>P1074</t>
  </si>
  <si>
    <t>A10027</t>
  </si>
  <si>
    <t>P1016</t>
  </si>
  <si>
    <t>A10028</t>
  </si>
  <si>
    <t>P1021</t>
  </si>
  <si>
    <t>A10029</t>
  </si>
  <si>
    <t>A10030</t>
  </si>
  <si>
    <t>P1102</t>
  </si>
  <si>
    <t>A10031</t>
  </si>
  <si>
    <t>P1026</t>
  </si>
  <si>
    <t>A10032</t>
  </si>
  <si>
    <t>P1073</t>
  </si>
  <si>
    <t>A10033</t>
  </si>
  <si>
    <t>P1077</t>
  </si>
  <si>
    <t>A10034</t>
  </si>
  <si>
    <t>P1155</t>
  </si>
  <si>
    <t>Dr. Khan</t>
  </si>
  <si>
    <t>A10035</t>
  </si>
  <si>
    <t>P1163</t>
  </si>
  <si>
    <t>A10036</t>
  </si>
  <si>
    <t>P1142</t>
  </si>
  <si>
    <t>A10037</t>
  </si>
  <si>
    <t>P1175</t>
  </si>
  <si>
    <t>A10039</t>
  </si>
  <si>
    <t>P1226</t>
  </si>
  <si>
    <t>A10040</t>
  </si>
  <si>
    <t>P1098</t>
  </si>
  <si>
    <t>A10041</t>
  </si>
  <si>
    <t>A10042</t>
  </si>
  <si>
    <t>P1103</t>
  </si>
  <si>
    <t>A10043</t>
  </si>
  <si>
    <t>A10044</t>
  </si>
  <si>
    <t>P1049</t>
  </si>
  <si>
    <t>A10045</t>
  </si>
  <si>
    <t>P1018</t>
  </si>
  <si>
    <t>A10046</t>
  </si>
  <si>
    <t>P1179</t>
  </si>
  <si>
    <t>A10047</t>
  </si>
  <si>
    <t>P1078</t>
  </si>
  <si>
    <t>A10048</t>
  </si>
  <si>
    <t>P1114</t>
  </si>
  <si>
    <t>A10049</t>
  </si>
  <si>
    <t>P1173</t>
  </si>
  <si>
    <t>A10050</t>
  </si>
  <si>
    <t>P1218</t>
  </si>
  <si>
    <t>A10051</t>
  </si>
  <si>
    <t>P1038</t>
  </si>
  <si>
    <t>A10052</t>
  </si>
  <si>
    <t>A10053</t>
  </si>
  <si>
    <t>P1209</t>
  </si>
  <si>
    <t>A10054</t>
  </si>
  <si>
    <t>P1197</t>
  </si>
  <si>
    <t>A10055</t>
  </si>
  <si>
    <t>P1082</t>
  </si>
  <si>
    <t>A10056</t>
  </si>
  <si>
    <t>P1105</t>
  </si>
  <si>
    <t>A10057</t>
  </si>
  <si>
    <t>P1220</t>
  </si>
  <si>
    <t>A10058</t>
  </si>
  <si>
    <t>P1205</t>
  </si>
  <si>
    <t>A10059</t>
  </si>
  <si>
    <t>P1172</t>
  </si>
  <si>
    <t>A10060</t>
  </si>
  <si>
    <t>P1145</t>
  </si>
  <si>
    <t>A10061</t>
  </si>
  <si>
    <t>P1084</t>
  </si>
  <si>
    <t>A10062</t>
  </si>
  <si>
    <t>P1121</t>
  </si>
  <si>
    <t>A10063</t>
  </si>
  <si>
    <t>P1052</t>
  </si>
  <si>
    <t>A10064</t>
  </si>
  <si>
    <t>A10065</t>
  </si>
  <si>
    <t>P1238</t>
  </si>
  <si>
    <t>A10066</t>
  </si>
  <si>
    <t>A10067</t>
  </si>
  <si>
    <t>P1004</t>
  </si>
  <si>
    <t>A10068</t>
  </si>
  <si>
    <t>P1188</t>
  </si>
  <si>
    <t>A10069</t>
  </si>
  <si>
    <t>A10070</t>
  </si>
  <si>
    <t>P1125</t>
  </si>
  <si>
    <t>A10071</t>
  </si>
  <si>
    <t>P1133</t>
  </si>
  <si>
    <t>A10072</t>
  </si>
  <si>
    <t>P1166</t>
  </si>
  <si>
    <t>A10073</t>
  </si>
  <si>
    <t>P1079</t>
  </si>
  <si>
    <t>A10074</t>
  </si>
  <si>
    <t>A10075</t>
  </si>
  <si>
    <t>P1244</t>
  </si>
  <si>
    <t>A10076</t>
  </si>
  <si>
    <t>A10077</t>
  </si>
  <si>
    <t>P1250</t>
  </si>
  <si>
    <t>A10078</t>
  </si>
  <si>
    <t>P1113</t>
  </si>
  <si>
    <t>A10079</t>
  </si>
  <si>
    <t>P1019</t>
  </si>
  <si>
    <t>A10080</t>
  </si>
  <si>
    <t>P1156</t>
  </si>
  <si>
    <t>A10081</t>
  </si>
  <si>
    <t>P1159</t>
  </si>
  <si>
    <t>A10082</t>
  </si>
  <si>
    <t>A10083</t>
  </si>
  <si>
    <t>P1060</t>
  </si>
  <si>
    <t>A10084</t>
  </si>
  <si>
    <t>P1170</t>
  </si>
  <si>
    <t>A10085</t>
  </si>
  <si>
    <t>A10086</t>
  </si>
  <si>
    <t>P1180</t>
  </si>
  <si>
    <t>A10087</t>
  </si>
  <si>
    <t>A10088</t>
  </si>
  <si>
    <t>P1148</t>
  </si>
  <si>
    <t>A10089</t>
  </si>
  <si>
    <t>P1249</t>
  </si>
  <si>
    <t>A10090</t>
  </si>
  <si>
    <t>P1106</t>
  </si>
  <si>
    <t>A10091</t>
  </si>
  <si>
    <t>P1030</t>
  </si>
  <si>
    <t>A10092</t>
  </si>
  <si>
    <t>P1160</t>
  </si>
  <si>
    <t>A10093</t>
  </si>
  <si>
    <t>A10094</t>
  </si>
  <si>
    <t>A10095</t>
  </si>
  <si>
    <t>P1131</t>
  </si>
  <si>
    <t>A10096</t>
  </si>
  <si>
    <t>P1236</t>
  </si>
  <si>
    <t>A10097</t>
  </si>
  <si>
    <t>P1186</t>
  </si>
  <si>
    <t>A10098</t>
  </si>
  <si>
    <t>P1196</t>
  </si>
  <si>
    <t>A10099</t>
  </si>
  <si>
    <t>P1012</t>
  </si>
  <si>
    <t>A10100</t>
  </si>
  <si>
    <t>P1129</t>
  </si>
  <si>
    <t>A10101</t>
  </si>
  <si>
    <t>A10102</t>
  </si>
  <si>
    <t>P1219</t>
  </si>
  <si>
    <t>A10103</t>
  </si>
  <si>
    <t>P1059</t>
  </si>
  <si>
    <t>A10104</t>
  </si>
  <si>
    <t>A10105</t>
  </si>
  <si>
    <t>A10106</t>
  </si>
  <si>
    <t>P1037</t>
  </si>
  <si>
    <t>A10107</t>
  </si>
  <si>
    <t>P1041</t>
  </si>
  <si>
    <t>A10108</t>
  </si>
  <si>
    <t>P1051</t>
  </si>
  <si>
    <t>A10109</t>
  </si>
  <si>
    <t>A10110</t>
  </si>
  <si>
    <t>P1214</t>
  </si>
  <si>
    <t>A10111</t>
  </si>
  <si>
    <t>P1161</t>
  </si>
  <si>
    <t>A10112</t>
  </si>
  <si>
    <t>A10113</t>
  </si>
  <si>
    <t>P1234</t>
  </si>
  <si>
    <t>A10114</t>
  </si>
  <si>
    <t>A10115</t>
  </si>
  <si>
    <t>P1032</t>
  </si>
  <si>
    <t>A10116</t>
  </si>
  <si>
    <t>A10117</t>
  </si>
  <si>
    <t>P1167</t>
  </si>
  <si>
    <t>A10118</t>
  </si>
  <si>
    <t>P1061</t>
  </si>
  <si>
    <t>A10119</t>
  </si>
  <si>
    <t>P1227</t>
  </si>
  <si>
    <t>A10120</t>
  </si>
  <si>
    <t>A10121</t>
  </si>
  <si>
    <t>A10122</t>
  </si>
  <si>
    <t>P1063</t>
  </si>
  <si>
    <t>A10123</t>
  </si>
  <si>
    <t>P1202</t>
  </si>
  <si>
    <t>A10124</t>
  </si>
  <si>
    <t>P1034</t>
  </si>
  <si>
    <t>A10125</t>
  </si>
  <si>
    <t>P1190</t>
  </si>
  <si>
    <t>A10126</t>
  </si>
  <si>
    <t>P1057</t>
  </si>
  <si>
    <t>A10127</t>
  </si>
  <si>
    <t>A10128</t>
  </si>
  <si>
    <t>A10129</t>
  </si>
  <si>
    <t>A10130</t>
  </si>
  <si>
    <t>P1187</t>
  </si>
  <si>
    <t>A10131</t>
  </si>
  <si>
    <t>A10132</t>
  </si>
  <si>
    <t>P1151</t>
  </si>
  <si>
    <t>A10133</t>
  </si>
  <si>
    <t>P1080</t>
  </si>
  <si>
    <t>A10134</t>
  </si>
  <si>
    <t>A10135</t>
  </si>
  <si>
    <t>P1008</t>
  </si>
  <si>
    <t>A10136</t>
  </si>
  <si>
    <t>P1169</t>
  </si>
  <si>
    <t>A10137</t>
  </si>
  <si>
    <t>P1117</t>
  </si>
  <si>
    <t>A10138</t>
  </si>
  <si>
    <t>A10139</t>
  </si>
  <si>
    <t>P1107</t>
  </si>
  <si>
    <t>A10140</t>
  </si>
  <si>
    <t>A10141</t>
  </si>
  <si>
    <t>P1243</t>
  </si>
  <si>
    <t>A10142</t>
  </si>
  <si>
    <t>P1045</t>
  </si>
  <si>
    <t>A10143</t>
  </si>
  <si>
    <t>P1221</t>
  </si>
  <si>
    <t>A10144</t>
  </si>
  <si>
    <t>P1182</t>
  </si>
  <si>
    <t>A10145</t>
  </si>
  <si>
    <t>P1213</t>
  </si>
  <si>
    <t>A10146</t>
  </si>
  <si>
    <t>A10147</t>
  </si>
  <si>
    <t>P1050</t>
  </si>
  <si>
    <t>A10148</t>
  </si>
  <si>
    <t>A10149</t>
  </si>
  <si>
    <t>P1165</t>
  </si>
  <si>
    <t>A10150</t>
  </si>
  <si>
    <t>P1204</t>
  </si>
  <si>
    <t>A10151</t>
  </si>
  <si>
    <t>P1095</t>
  </si>
  <si>
    <t>A10152</t>
  </si>
  <si>
    <t>A10153</t>
  </si>
  <si>
    <t>P1208</t>
  </si>
  <si>
    <t>A10154</t>
  </si>
  <si>
    <t>P1134</t>
  </si>
  <si>
    <t>A10155</t>
  </si>
  <si>
    <t>P1014</t>
  </si>
  <si>
    <t>A10156</t>
  </si>
  <si>
    <t>A10157</t>
  </si>
  <si>
    <t>A10158</t>
  </si>
  <si>
    <t>A10159</t>
  </si>
  <si>
    <t>A10160</t>
  </si>
  <si>
    <t>P1225</t>
  </si>
  <si>
    <t>A10161</t>
  </si>
  <si>
    <t>A10162</t>
  </si>
  <si>
    <t>P1062</t>
  </si>
  <si>
    <t>A10163</t>
  </si>
  <si>
    <t>P1200</t>
  </si>
  <si>
    <t>A10164</t>
  </si>
  <si>
    <t>A10165</t>
  </si>
  <si>
    <t>P1232</t>
  </si>
  <si>
    <t>A10166</t>
  </si>
  <si>
    <t>A10167</t>
  </si>
  <si>
    <t>P1215</t>
  </si>
  <si>
    <t>A10168</t>
  </si>
  <si>
    <t>P1115</t>
  </si>
  <si>
    <t>A10169</t>
  </si>
  <si>
    <t>A10170</t>
  </si>
  <si>
    <t>A10171</t>
  </si>
  <si>
    <t>P1091</t>
  </si>
  <si>
    <t>A10172</t>
  </si>
  <si>
    <t>P1130</t>
  </si>
  <si>
    <t>A10173</t>
  </si>
  <si>
    <t>P1092</t>
  </si>
  <si>
    <t>A10174</t>
  </si>
  <si>
    <t>P1140</t>
  </si>
  <si>
    <t>A10175</t>
  </si>
  <si>
    <t>P1010</t>
  </si>
  <si>
    <t>A10176</t>
  </si>
  <si>
    <t>A10177</t>
  </si>
  <si>
    <t>A10178</t>
  </si>
  <si>
    <t>P1178</t>
  </si>
  <si>
    <t>A10179</t>
  </si>
  <si>
    <t>P1211</t>
  </si>
  <si>
    <t>A10180</t>
  </si>
  <si>
    <t>A10181</t>
  </si>
  <si>
    <t>P1071</t>
  </si>
  <si>
    <t>A10182</t>
  </si>
  <si>
    <t>A10183</t>
  </si>
  <si>
    <t>P1009</t>
  </si>
  <si>
    <t>A10184</t>
  </si>
  <si>
    <t>A10185</t>
  </si>
  <si>
    <t>A10186</t>
  </si>
  <si>
    <t>A10187</t>
  </si>
  <si>
    <t>P1171</t>
  </si>
  <si>
    <t>A10188</t>
  </si>
  <si>
    <t>P1058</t>
  </si>
  <si>
    <t>A10190</t>
  </si>
  <si>
    <t>P1135</t>
  </si>
  <si>
    <t>A10191</t>
  </si>
  <si>
    <t>A10192</t>
  </si>
  <si>
    <t>P1040</t>
  </si>
  <si>
    <t>A10193</t>
  </si>
  <si>
    <t>A10194</t>
  </si>
  <si>
    <t>P1185</t>
  </si>
  <si>
    <t>A10195</t>
  </si>
  <si>
    <t>A10196</t>
  </si>
  <si>
    <t>A10197</t>
  </si>
  <si>
    <t>A10198</t>
  </si>
  <si>
    <t>P1028</t>
  </si>
  <si>
    <t>A10199</t>
  </si>
  <si>
    <t>P1013</t>
  </si>
  <si>
    <t>A10200</t>
  </si>
  <si>
    <t>A10201</t>
  </si>
  <si>
    <t>P1242</t>
  </si>
  <si>
    <t>A10202</t>
  </si>
  <si>
    <t>P1127</t>
  </si>
  <si>
    <t>A10203</t>
  </si>
  <si>
    <t>A10204</t>
  </si>
  <si>
    <t>A10205</t>
  </si>
  <si>
    <t>P1101</t>
  </si>
  <si>
    <t>A10206</t>
  </si>
  <si>
    <t>A10207</t>
  </si>
  <si>
    <t>P1036</t>
  </si>
  <si>
    <t>A10208</t>
  </si>
  <si>
    <t>P1137</t>
  </si>
  <si>
    <t>A10209</t>
  </si>
  <si>
    <t>A10210</t>
  </si>
  <si>
    <t>P1162</t>
  </si>
  <si>
    <t>A10211</t>
  </si>
  <si>
    <t>P1081</t>
  </si>
  <si>
    <t>A10212</t>
  </si>
  <si>
    <t>P1181</t>
  </si>
  <si>
    <t>A10213</t>
  </si>
  <si>
    <t>P1118</t>
  </si>
  <si>
    <t>A10214</t>
  </si>
  <si>
    <t>A10215</t>
  </si>
  <si>
    <t>A10216</t>
  </si>
  <si>
    <t>P1089</t>
  </si>
  <si>
    <t>A10217</t>
  </si>
  <si>
    <t>A10218</t>
  </si>
  <si>
    <t>A10219</t>
  </si>
  <si>
    <t>A10220</t>
  </si>
  <si>
    <t>A10221</t>
  </si>
  <si>
    <t>A10222</t>
  </si>
  <si>
    <t>A10223</t>
  </si>
  <si>
    <t>A10224</t>
  </si>
  <si>
    <t>A10225</t>
  </si>
  <si>
    <t>P1123</t>
  </si>
  <si>
    <t>A10226</t>
  </si>
  <si>
    <t>A10227</t>
  </si>
  <si>
    <t>P1104</t>
  </si>
  <si>
    <t>A10228</t>
  </si>
  <si>
    <t>A10229</t>
  </si>
  <si>
    <t>A10230</t>
  </si>
  <si>
    <t>A10231</t>
  </si>
  <si>
    <t>P1184</t>
  </si>
  <si>
    <t>A10232</t>
  </si>
  <si>
    <t>A10233</t>
  </si>
  <si>
    <t>P1149</t>
  </si>
  <si>
    <t>A10234</t>
  </si>
  <si>
    <t>A10235</t>
  </si>
  <si>
    <t>A10236</t>
  </si>
  <si>
    <t>A10237</t>
  </si>
  <si>
    <t>A10238</t>
  </si>
  <si>
    <t>A10239</t>
  </si>
  <si>
    <t>A10240</t>
  </si>
  <si>
    <t>A10241</t>
  </si>
  <si>
    <t>A10242</t>
  </si>
  <si>
    <t>P1143</t>
  </si>
  <si>
    <t>A10243</t>
  </si>
  <si>
    <t>A10244</t>
  </si>
  <si>
    <t>A10245</t>
  </si>
  <si>
    <t>P1066</t>
  </si>
  <si>
    <t>A10246</t>
  </si>
  <si>
    <t>P1097</t>
  </si>
  <si>
    <t>A10247</t>
  </si>
  <si>
    <t>A10248</t>
  </si>
  <si>
    <t>A10249</t>
  </si>
  <si>
    <t>P1132</t>
  </si>
  <si>
    <t>A10250</t>
  </si>
  <si>
    <t>A10251</t>
  </si>
  <si>
    <t>A10252</t>
  </si>
  <si>
    <t>P1248</t>
  </si>
  <si>
    <t>A10253</t>
  </si>
  <si>
    <t>A10254</t>
  </si>
  <si>
    <t>A10255</t>
  </si>
  <si>
    <t>P1005</t>
  </si>
  <si>
    <t>A10256</t>
  </si>
  <si>
    <t>A10257</t>
  </si>
  <si>
    <t>A10258</t>
  </si>
  <si>
    <t>A10259</t>
  </si>
  <si>
    <t>P1122</t>
  </si>
  <si>
    <t>A10260</t>
  </si>
  <si>
    <t>P1230</t>
  </si>
  <si>
    <t>A10261</t>
  </si>
  <si>
    <t>P1231</t>
  </si>
  <si>
    <t>A10262</t>
  </si>
  <si>
    <t>A10263</t>
  </si>
  <si>
    <t>P1203</t>
  </si>
  <si>
    <t>A10264</t>
  </si>
  <si>
    <t>A10265</t>
  </si>
  <si>
    <t>P1241</t>
  </si>
  <si>
    <t>A10266</t>
  </si>
  <si>
    <t>A10267</t>
  </si>
  <si>
    <t>A10268</t>
  </si>
  <si>
    <t>A10269</t>
  </si>
  <si>
    <t>P1201</t>
  </si>
  <si>
    <t>A10270</t>
  </si>
  <si>
    <t>A10271</t>
  </si>
  <si>
    <t>A10272</t>
  </si>
  <si>
    <t>P1065</t>
  </si>
  <si>
    <t>A10273</t>
  </si>
  <si>
    <t>A10274</t>
  </si>
  <si>
    <t>P1035</t>
  </si>
  <si>
    <t>A10275</t>
  </si>
  <si>
    <t>P1075</t>
  </si>
  <si>
    <t>A10276</t>
  </si>
  <si>
    <t>A10277</t>
  </si>
  <si>
    <t>A10278</t>
  </si>
  <si>
    <t>A10279</t>
  </si>
  <si>
    <t>A10280</t>
  </si>
  <si>
    <t>P1003</t>
  </si>
  <si>
    <t>A10281</t>
  </si>
  <si>
    <t>P1177</t>
  </si>
  <si>
    <t>A10282</t>
  </si>
  <si>
    <t>A10283</t>
  </si>
  <si>
    <t>P1025</t>
  </si>
  <si>
    <t>A10284</t>
  </si>
  <si>
    <t>A10285</t>
  </si>
  <si>
    <t>P1246</t>
  </si>
  <si>
    <t>A10286</t>
  </si>
  <si>
    <t>A10287</t>
  </si>
  <si>
    <t>P1193</t>
  </si>
  <si>
    <t>A10288</t>
  </si>
  <si>
    <t>P1068</t>
  </si>
  <si>
    <t>A10289</t>
  </si>
  <si>
    <t>A10290</t>
  </si>
  <si>
    <t>A10291</t>
  </si>
  <si>
    <t>A10292</t>
  </si>
  <si>
    <t>A10293</t>
  </si>
  <si>
    <t>A10294</t>
  </si>
  <si>
    <t>A10295</t>
  </si>
  <si>
    <t>A10296</t>
  </si>
  <si>
    <t>P1069</t>
  </si>
  <si>
    <t>A10297</t>
  </si>
  <si>
    <t>A10298</t>
  </si>
  <si>
    <t>A10299</t>
  </si>
  <si>
    <t>A10300</t>
  </si>
  <si>
    <t>A10301</t>
  </si>
  <si>
    <t>A10302</t>
  </si>
  <si>
    <t>P1020</t>
  </si>
  <si>
    <t>A10303</t>
  </si>
  <si>
    <t>A10304</t>
  </si>
  <si>
    <t>P1212</t>
  </si>
  <si>
    <t>A10305</t>
  </si>
  <si>
    <t>A10306</t>
  </si>
  <si>
    <t>A10307</t>
  </si>
  <si>
    <t>A10308</t>
  </si>
  <si>
    <t>A10309</t>
  </si>
  <si>
    <t>P1152</t>
  </si>
  <si>
    <t>A10310</t>
  </si>
  <si>
    <t>A10311</t>
  </si>
  <si>
    <t>A10312</t>
  </si>
  <si>
    <t>A10313</t>
  </si>
  <si>
    <t>A10314</t>
  </si>
  <si>
    <t>A10315</t>
  </si>
  <si>
    <t>A10316</t>
  </si>
  <si>
    <t>A10317</t>
  </si>
  <si>
    <t>A10318</t>
  </si>
  <si>
    <t>P1011</t>
  </si>
  <si>
    <t>A10319</t>
  </si>
  <si>
    <t>A10320</t>
  </si>
  <si>
    <t>A10321</t>
  </si>
  <si>
    <t>A10322</t>
  </si>
  <si>
    <t>P1042</t>
  </si>
  <si>
    <t>A10323</t>
  </si>
  <si>
    <t>A10324</t>
  </si>
  <si>
    <t>A10325</t>
  </si>
  <si>
    <t>A10326</t>
  </si>
  <si>
    <t>P1094</t>
  </si>
  <si>
    <t>A10327</t>
  </si>
  <si>
    <t>A10328</t>
  </si>
  <si>
    <t>P1206</t>
  </si>
  <si>
    <t>A10329</t>
  </si>
  <si>
    <t>A10330</t>
  </si>
  <si>
    <t>A10331</t>
  </si>
  <si>
    <t>P1139</t>
  </si>
  <si>
    <t>A10332</t>
  </si>
  <si>
    <t>P1136</t>
  </si>
  <si>
    <t>A10333</t>
  </si>
  <si>
    <t>A10334</t>
  </si>
  <si>
    <t>A10335</t>
  </si>
  <si>
    <t>A10336</t>
  </si>
  <si>
    <t>P1043</t>
  </si>
  <si>
    <t>A10337</t>
  </si>
  <si>
    <t>A10338</t>
  </si>
  <si>
    <t>A10339</t>
  </si>
  <si>
    <t>A10340</t>
  </si>
  <si>
    <t>A10341</t>
  </si>
  <si>
    <t>P1067</t>
  </si>
  <si>
    <t>A10342</t>
  </si>
  <si>
    <t>A10343</t>
  </si>
  <si>
    <t>A10344</t>
  </si>
  <si>
    <t>A10345</t>
  </si>
  <si>
    <t>P1099</t>
  </si>
  <si>
    <t>A10346</t>
  </si>
  <si>
    <t>A10347</t>
  </si>
  <si>
    <t>A10348</t>
  </si>
  <si>
    <t>A10349</t>
  </si>
  <si>
    <t>A10350</t>
  </si>
  <si>
    <t>A10351</t>
  </si>
  <si>
    <t>A10352</t>
  </si>
  <si>
    <t>A10353</t>
  </si>
  <si>
    <t>P1006</t>
  </si>
  <si>
    <t>A10354</t>
  </si>
  <si>
    <t>P1087</t>
  </si>
  <si>
    <t>A10355</t>
  </si>
  <si>
    <t>A10356</t>
  </si>
  <si>
    <t>A10357</t>
  </si>
  <si>
    <t>P1164</t>
  </si>
  <si>
    <t>A10358</t>
  </si>
  <si>
    <t>A10359</t>
  </si>
  <si>
    <t>P1090</t>
  </si>
  <si>
    <t>A10360</t>
  </si>
  <si>
    <t>A10361</t>
  </si>
  <si>
    <t>A10362</t>
  </si>
  <si>
    <t>P1228</t>
  </si>
  <si>
    <t>A10363</t>
  </si>
  <si>
    <t>P1111</t>
  </si>
  <si>
    <t>A10364</t>
  </si>
  <si>
    <t>A10365</t>
  </si>
  <si>
    <t>P1216</t>
  </si>
  <si>
    <t>A10366</t>
  </si>
  <si>
    <t>A10367</t>
  </si>
  <si>
    <t>A10368</t>
  </si>
  <si>
    <t>A10369</t>
  </si>
  <si>
    <t>A10370</t>
  </si>
  <si>
    <t>A10371</t>
  </si>
  <si>
    <t>A10372</t>
  </si>
  <si>
    <t>A10373</t>
  </si>
  <si>
    <t>A10374</t>
  </si>
  <si>
    <t>A10375</t>
  </si>
  <si>
    <t>A10376</t>
  </si>
  <si>
    <t>A10377</t>
  </si>
  <si>
    <t>A10378</t>
  </si>
  <si>
    <t>A10379</t>
  </si>
  <si>
    <t>A10380</t>
  </si>
  <si>
    <t>A10381</t>
  </si>
  <si>
    <t>P1017</t>
  </si>
  <si>
    <t>A10382</t>
  </si>
  <si>
    <t>A10383</t>
  </si>
  <si>
    <t>A10384</t>
  </si>
  <si>
    <t>A10385</t>
  </si>
  <si>
    <t>A10386</t>
  </si>
  <si>
    <t>A10387</t>
  </si>
  <si>
    <t>A10388</t>
  </si>
  <si>
    <t>A10389</t>
  </si>
  <si>
    <t>A10390</t>
  </si>
  <si>
    <t>A10391</t>
  </si>
  <si>
    <t>P1168</t>
  </si>
  <si>
    <t>A10392</t>
  </si>
  <si>
    <t>A10393</t>
  </si>
  <si>
    <t>P1047</t>
  </si>
  <si>
    <t>A10394</t>
  </si>
  <si>
    <t>A10395</t>
  </si>
  <si>
    <t>P1150</t>
  </si>
  <si>
    <t>A10396</t>
  </si>
  <si>
    <t>A10397</t>
  </si>
  <si>
    <t>A10398</t>
  </si>
  <si>
    <t>A10399</t>
  </si>
  <si>
    <t>A10400</t>
  </si>
  <si>
    <t>A10401</t>
  </si>
  <si>
    <t>A10402</t>
  </si>
  <si>
    <t>A10403</t>
  </si>
  <si>
    <t>A10404</t>
  </si>
  <si>
    <t>P1183</t>
  </si>
  <si>
    <t>A10405</t>
  </si>
  <si>
    <t>A10406</t>
  </si>
  <si>
    <t>P1053</t>
  </si>
  <si>
    <t>A10407</t>
  </si>
  <si>
    <t>A10408</t>
  </si>
  <si>
    <t>A10409</t>
  </si>
  <si>
    <t>P1141</t>
  </si>
  <si>
    <t>A10410</t>
  </si>
  <si>
    <t>P1233</t>
  </si>
  <si>
    <t>A10411</t>
  </si>
  <si>
    <t>A10412</t>
  </si>
  <si>
    <t>A10413</t>
  </si>
  <si>
    <t>P1085</t>
  </si>
  <si>
    <t>A10414</t>
  </si>
  <si>
    <t>A10415</t>
  </si>
  <si>
    <t>A10416</t>
  </si>
  <si>
    <t>A10417</t>
  </si>
  <si>
    <t>A10418</t>
  </si>
  <si>
    <t>A10419</t>
  </si>
  <si>
    <t>P1039</t>
  </si>
  <si>
    <t>A10420</t>
  </si>
  <si>
    <t>A10421</t>
  </si>
  <si>
    <t>P1027</t>
  </si>
  <si>
    <t>A10423</t>
  </si>
  <si>
    <t>A10424</t>
  </si>
  <si>
    <t>P1154</t>
  </si>
  <si>
    <t>A10425</t>
  </si>
  <si>
    <t>A10426</t>
  </si>
  <si>
    <t>A10427</t>
  </si>
  <si>
    <t>A10428</t>
  </si>
  <si>
    <t>A10429</t>
  </si>
  <si>
    <t>A10430</t>
  </si>
  <si>
    <t>P1247</t>
  </si>
  <si>
    <t>A10431</t>
  </si>
  <si>
    <t>A10432</t>
  </si>
  <si>
    <t>A10433</t>
  </si>
  <si>
    <t>A10434</t>
  </si>
  <si>
    <t>A10435</t>
  </si>
  <si>
    <t>A10436</t>
  </si>
  <si>
    <t>A10437</t>
  </si>
  <si>
    <t>A10438</t>
  </si>
  <si>
    <t>P1048</t>
  </si>
  <si>
    <t>A10439</t>
  </si>
  <si>
    <t>A10440</t>
  </si>
  <si>
    <t>A10441</t>
  </si>
  <si>
    <t>A10442</t>
  </si>
  <si>
    <t>A10443</t>
  </si>
  <si>
    <t>A10444</t>
  </si>
  <si>
    <t>A10445</t>
  </si>
  <si>
    <t>A10446</t>
  </si>
  <si>
    <t>A10447</t>
  </si>
  <si>
    <t>A10448</t>
  </si>
  <si>
    <t>A10449</t>
  </si>
  <si>
    <t>P1100</t>
  </si>
  <si>
    <t>A10450</t>
  </si>
  <si>
    <t>A10451</t>
  </si>
  <si>
    <t>A10452</t>
  </si>
  <si>
    <t>A10453</t>
  </si>
  <si>
    <t>A10454</t>
  </si>
  <si>
    <t>A10455</t>
  </si>
  <si>
    <t>A10456</t>
  </si>
  <si>
    <t>P1033</t>
  </si>
  <si>
    <t>A10457</t>
  </si>
  <si>
    <t>P1158</t>
  </si>
  <si>
    <t>A10458</t>
  </si>
  <si>
    <t>A10459</t>
  </si>
  <si>
    <t>A10460</t>
  </si>
  <si>
    <t>P1229</t>
  </si>
  <si>
    <t>A10461</t>
  </si>
  <si>
    <t>A10462</t>
  </si>
  <si>
    <t>A10463</t>
  </si>
  <si>
    <t>A10464</t>
  </si>
  <si>
    <t>A10465</t>
  </si>
  <si>
    <t>A10466</t>
  </si>
  <si>
    <t>A10467</t>
  </si>
  <si>
    <t>A10468</t>
  </si>
  <si>
    <t>A10469</t>
  </si>
  <si>
    <t>A10470</t>
  </si>
  <si>
    <t>A10471</t>
  </si>
  <si>
    <t>A10472</t>
  </si>
  <si>
    <t>P1015</t>
  </si>
  <si>
    <t>A10473</t>
  </si>
  <si>
    <t>A10474</t>
  </si>
  <si>
    <t>A10475</t>
  </si>
  <si>
    <t>A10476</t>
  </si>
  <si>
    <t>A10477</t>
  </si>
  <si>
    <t>A10478</t>
  </si>
  <si>
    <t>A10479</t>
  </si>
  <si>
    <t>A10480</t>
  </si>
  <si>
    <t>A10481</t>
  </si>
  <si>
    <t>A10482</t>
  </si>
  <si>
    <t>P1194</t>
  </si>
  <si>
    <t>A10483</t>
  </si>
  <si>
    <t>A10484</t>
  </si>
  <si>
    <t>A10485</t>
  </si>
  <si>
    <t>A10486</t>
  </si>
  <si>
    <t>A10487</t>
  </si>
  <si>
    <t>A10488</t>
  </si>
  <si>
    <t>A10489</t>
  </si>
  <si>
    <t>A10490</t>
  </si>
  <si>
    <t>A10491</t>
  </si>
  <si>
    <t>A10492</t>
  </si>
  <si>
    <t>A10493</t>
  </si>
  <si>
    <t>A10494</t>
  </si>
  <si>
    <t>A10495</t>
  </si>
  <si>
    <t>A10496</t>
  </si>
  <si>
    <t>A10497</t>
  </si>
  <si>
    <t>A10498</t>
  </si>
  <si>
    <t>P1031</t>
  </si>
  <si>
    <t>A10499</t>
  </si>
  <si>
    <t>A10500</t>
  </si>
  <si>
    <t>Project</t>
  </si>
  <si>
    <t>Purpose</t>
  </si>
  <si>
    <t>Records</t>
  </si>
  <si>
    <t>Instruction</t>
  </si>
  <si>
    <t>Hospital Appointment Operations Analytics</t>
  </si>
  <si>
    <t>Excel case study: identify appointment leakage, waiting-time bottlenecks, demand patterns and capacity issues.</t>
  </si>
  <si>
    <t>Raw data is intentionally imperfect. Start with a Data Audit; do not clean it before auditing.</t>
  </si>
  <si>
    <t>Unknown</t>
  </si>
  <si>
    <t>Count</t>
  </si>
  <si>
    <t xml:space="preserve">Cancelled </t>
  </si>
  <si>
    <t>Total</t>
  </si>
  <si>
    <t>Rate</t>
  </si>
  <si>
    <t>Row Labels</t>
  </si>
  <si>
    <t>Grand Total</t>
  </si>
  <si>
    <t>Count of Appointment ID</t>
  </si>
  <si>
    <t>Column Labels</t>
  </si>
  <si>
    <t>Sum of Fee</t>
  </si>
  <si>
    <t>revenue</t>
  </si>
  <si>
    <t>Average Fee</t>
  </si>
  <si>
    <t xml:space="preserve">Montly No Show Rate </t>
  </si>
  <si>
    <t>Montly Completion Rate</t>
  </si>
  <si>
    <t xml:space="preserve"> </t>
  </si>
  <si>
    <t>No Show Rate</t>
  </si>
  <si>
    <t>Completion Rate</t>
  </si>
  <si>
    <t>Average wait Time</t>
  </si>
  <si>
    <t>Average of Wait Time (min)</t>
  </si>
  <si>
    <t>Day</t>
  </si>
  <si>
    <t>Friday</t>
  </si>
  <si>
    <t>Monday</t>
  </si>
  <si>
    <t>Saturday</t>
  </si>
  <si>
    <t>Sunday</t>
  </si>
  <si>
    <t>Thursday</t>
  </si>
  <si>
    <t>Tuesday</t>
  </si>
  <si>
    <t>Wednesday</t>
  </si>
  <si>
    <t>Appointment Slot</t>
  </si>
  <si>
    <t>Afternoon</t>
  </si>
  <si>
    <t>Evening</t>
  </si>
  <si>
    <t>Late Evening</t>
  </si>
  <si>
    <t>Morning</t>
  </si>
  <si>
    <t>HOSPITAL APPOINTMENT OPERATIONS DASHBOARD</t>
  </si>
  <si>
    <t>Patient Flow | No-Show | Waiting Time | Revenue Analysis</t>
  </si>
  <si>
    <t>Total Appointments</t>
  </si>
  <si>
    <t>Total Revenue</t>
  </si>
  <si>
    <t>Revenue at Risk</t>
  </si>
  <si>
    <t>Month</t>
  </si>
  <si>
    <t>Appointments</t>
  </si>
  <si>
    <t>Jan</t>
  </si>
  <si>
    <t>Feb</t>
  </si>
  <si>
    <t>Mar</t>
  </si>
  <si>
    <t>Apr</t>
  </si>
  <si>
    <t>May</t>
  </si>
  <si>
    <t>Jun</t>
  </si>
  <si>
    <t>Department wise Appointment</t>
  </si>
  <si>
    <t xml:space="preserve">Status </t>
  </si>
  <si>
    <t>Time Slot</t>
  </si>
  <si>
    <t xml:space="preserve"> Afternoon has the highest No-Show Rate — 20%</t>
  </si>
  <si>
    <t xml:space="preserve"> Dr. Singh has the highest Doctor No-Show Rate — 22%</t>
  </si>
  <si>
    <t xml:space="preserve"> Saturday has the lowest No-Show Rate — 12%</t>
  </si>
  <si>
    <t xml:space="preserve"> Dhar has the highest appointment demand — 134 appointments</t>
  </si>
  <si>
    <t xml:space="preserve"> Potential Revenue at Risk — ₹1,17,700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</si>
</sst>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-1010000]d/m/yy;@"/>
    <numFmt numFmtId="165" formatCode="[$-1010409]d/m/yyyy\ h:mm\ AM/PM;@"/>
    <numFmt numFmtId="166" formatCode="0.0%"/>
    <numFmt numFmtId="167" formatCode="0.0"/>
    <numFmt numFmtId="168" formatCode="[$₹-4009]\ #,##0"/>
    <numFmt numFmtId="169" formatCode="[$₹-439]#,##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/>
    <xf numFmtId="165" fontId="1" fillId="0" borderId="2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/>
    <xf numFmtId="1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167" fontId="0" fillId="5" borderId="5" xfId="0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0" xfId="1" applyNumberFormat="1" applyFont="1"/>
    <xf numFmtId="0" fontId="0" fillId="0" borderId="0" xfId="0" applyAlignment="1">
      <alignment horizontal="center" vertical="top" readingOrder="1"/>
    </xf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/>
    </xf>
    <xf numFmtId="0" fontId="12" fillId="6" borderId="0" xfId="0" applyFont="1" applyFill="1" applyAlignment="1">
      <alignment horizontal="center" vertical="top"/>
    </xf>
    <xf numFmtId="0" fontId="11" fillId="6" borderId="0" xfId="0" applyFont="1" applyFill="1" applyAlignment="1">
      <alignment horizontal="center" vertical="top"/>
    </xf>
    <xf numFmtId="0" fontId="10" fillId="6" borderId="0" xfId="0" applyFont="1" applyFill="1" applyAlignment="1">
      <alignment horizontal="center" vertical="top"/>
    </xf>
    <xf numFmtId="0" fontId="8" fillId="7" borderId="15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8" fillId="7" borderId="21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168" fontId="8" fillId="7" borderId="20" xfId="2" applyNumberFormat="1" applyFont="1" applyFill="1" applyBorder="1" applyAlignment="1">
      <alignment horizontal="center" vertical="center"/>
    </xf>
    <xf numFmtId="168" fontId="8" fillId="7" borderId="19" xfId="2" applyNumberFormat="1" applyFont="1" applyFill="1" applyBorder="1" applyAlignment="1">
      <alignment horizontal="center" vertical="center"/>
    </xf>
    <xf numFmtId="169" fontId="8" fillId="7" borderId="20" xfId="2" applyNumberFormat="1" applyFont="1" applyFill="1" applyBorder="1" applyAlignment="1">
      <alignment horizontal="center" vertical="center"/>
    </xf>
    <xf numFmtId="169" fontId="8" fillId="7" borderId="16" xfId="2" applyNumberFormat="1" applyFont="1" applyFill="1" applyBorder="1" applyAlignment="1">
      <alignment horizontal="center" vertical="center"/>
    </xf>
    <xf numFmtId="10" fontId="8" fillId="7" borderId="15" xfId="0" applyNumberFormat="1" applyFont="1" applyFill="1" applyBorder="1" applyAlignment="1">
      <alignment horizontal="center"/>
    </xf>
    <xf numFmtId="10" fontId="8" fillId="7" borderId="19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17" xfId="0" applyBorder="1"/>
    <xf numFmtId="0" fontId="0" fillId="0" borderId="26" xfId="0" applyBorder="1"/>
    <xf numFmtId="0" fontId="0" fillId="0" borderId="18" xfId="0" applyBorder="1"/>
    <xf numFmtId="0" fontId="13" fillId="0" borderId="1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2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010409]d/m/yyyy\ h:mm\ AM/P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"/>
      <alignment horizontal="center" vertical="center" textRotation="0" wrapText="0" indent="0" justifyLastLine="0" shrinkToFit="0" readingOrder="0"/>
    </dxf>
    <dxf>
      <numFmt numFmtId="167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0.0"/>
    </dxf>
    <dxf>
      <numFmt numFmtId="167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No Show Rate by Doctor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Sheet3!$CY$11</c:f>
              <c:strCache>
                <c:ptCount val="1"/>
                <c:pt idx="0">
                  <c:v>No Show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Sheet3!$CX$12:$CX$21</c:f>
              <c:strCache>
                <c:ptCount val="10"/>
                <c:pt idx="0">
                  <c:v>Dr. Gupta</c:v>
                </c:pt>
                <c:pt idx="1">
                  <c:v>Dr. Joshi</c:v>
                </c:pt>
                <c:pt idx="2">
                  <c:v>Dr. Khan</c:v>
                </c:pt>
                <c:pt idx="3">
                  <c:v>Dr. Mehta</c:v>
                </c:pt>
                <c:pt idx="4">
                  <c:v>Dr. Patel</c:v>
                </c:pt>
                <c:pt idx="5">
                  <c:v>Dr. Rao</c:v>
                </c:pt>
                <c:pt idx="6">
                  <c:v>Dr. Shah</c:v>
                </c:pt>
                <c:pt idx="7">
                  <c:v>Dr. Sharma</c:v>
                </c:pt>
                <c:pt idx="8">
                  <c:v>Dr. Singh</c:v>
                </c:pt>
                <c:pt idx="9">
                  <c:v>Dr. Verma</c:v>
                </c:pt>
              </c:strCache>
            </c:strRef>
          </c:cat>
          <c:val>
            <c:numRef>
              <c:f>Sheet3!$CY$12:$CY$21</c:f>
              <c:numCache>
                <c:formatCode>0.0%</c:formatCode>
                <c:ptCount val="10"/>
                <c:pt idx="0">
                  <c:v>8.1632653061224483E-2</c:v>
                </c:pt>
                <c:pt idx="1">
                  <c:v>0.18</c:v>
                </c:pt>
                <c:pt idx="2">
                  <c:v>0.17647058823529413</c:v>
                </c:pt>
                <c:pt idx="3">
                  <c:v>0.1111111111111111</c:v>
                </c:pt>
                <c:pt idx="4">
                  <c:v>0.13725490196078433</c:v>
                </c:pt>
                <c:pt idx="5">
                  <c:v>0.1875</c:v>
                </c:pt>
                <c:pt idx="6">
                  <c:v>0.21568627450980393</c:v>
                </c:pt>
                <c:pt idx="7">
                  <c:v>0.17241379310344829</c:v>
                </c:pt>
                <c:pt idx="8">
                  <c:v>0.22</c:v>
                </c:pt>
                <c:pt idx="9">
                  <c:v>0.16393442622950818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B-4E2A-92B4-A345DF37C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051968"/>
        <c:axId val="517046688"/>
      </c:barChart>
      <c:catAx>
        <c:axId val="5170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46688"/>
        <c:crosses val="autoZero"/>
        <c:auto val="1"/>
        <c:lblAlgn val="ctr"/>
        <c:lblOffset val="100"/>
        <c:noMultiLvlLbl val="0"/>
      </c:catAx>
      <c:valAx>
        <c:axId val="5170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51968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Monthly</a:t>
            </a:r>
            <a:r>
              <a:rPr lang="en-US" sz="1600" b="1" baseline="0">
                <a:solidFill>
                  <a:schemeClr val="tx1"/>
                </a:solidFill>
              </a:rPr>
              <a:t> Appointment Trend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281389272969509"/>
          <c:y val="6.256203015102408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97681040442177E-2"/>
          <c:y val="0.23102268477308677"/>
          <c:w val="0.84927553464461714"/>
          <c:h val="0.65248486119273741"/>
        </c:manualLayout>
      </c:layout>
      <c:lineChart>
        <c:grouping val="standard"/>
        <c:varyColors val="0"/>
        <c:ser>
          <c:idx val="0"/>
          <c:order val="0"/>
          <c:tx>
            <c:strRef>
              <c:f>Sheet3!$CM$11</c:f>
              <c:strCache>
                <c:ptCount val="1"/>
                <c:pt idx="0">
                  <c:v>Appointments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Sheet3!$CL$12:$CL$17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Sheet3!$CM$12:$CM$17</c:f>
              <c:numCache>
                <c:formatCode>General</c:formatCode>
                <c:ptCount val="6"/>
                <c:pt idx="0">
                  <c:v>91</c:v>
                </c:pt>
                <c:pt idx="1">
                  <c:v>67</c:v>
                </c:pt>
                <c:pt idx="2">
                  <c:v>86</c:v>
                </c:pt>
                <c:pt idx="3">
                  <c:v>83</c:v>
                </c:pt>
                <c:pt idx="4">
                  <c:v>89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F-4399-AF7B-71E3A9FFB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504623"/>
        <c:axId val="776499823"/>
      </c:lineChart>
      <c:catAx>
        <c:axId val="77650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99823"/>
        <c:crosses val="autoZero"/>
        <c:auto val="1"/>
        <c:lblAlgn val="ctr"/>
        <c:lblOffset val="100"/>
        <c:noMultiLvlLbl val="0"/>
      </c:catAx>
      <c:valAx>
        <c:axId val="7764998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glow rad="63500">
                <a:schemeClr val="accent1">
                  <a:satMod val="175000"/>
                  <a:alpha val="40000"/>
                </a:schemeClr>
              </a:glow>
              <a:softEdge rad="31750"/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50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dbl" algn="ctr">
      <a:solidFill>
        <a:schemeClr val="tx1">
          <a:lumMod val="15000"/>
          <a:lumOff val="85000"/>
          <a:alpha val="0"/>
        </a:schemeClr>
      </a:solidFill>
      <a:round/>
    </a:ln>
    <a:effectLst>
      <a:glow>
        <a:schemeClr val="accent1">
          <a:alpha val="40000"/>
        </a:schemeClr>
      </a:glow>
      <a:outerShdw blurRad="50800" dist="50800" dir="5400000" sx="1000" sy="1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World Project.xlsx]Sheet3!PivotTable3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14</c:v>
                </c:pt>
                <c:pt idx="1">
                  <c:v>18</c:v>
                </c:pt>
                <c:pt idx="2">
                  <c:v>10</c:v>
                </c:pt>
                <c:pt idx="3">
                  <c:v>27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F-435A-A44E-2105FE211D37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74</c:v>
                </c:pt>
                <c:pt idx="1">
                  <c:v>65</c:v>
                </c:pt>
                <c:pt idx="2">
                  <c:v>70</c:v>
                </c:pt>
                <c:pt idx="3">
                  <c:v>66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F-435A-A44E-2105FE211D37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No 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14</c:v>
                </c:pt>
                <c:pt idx="1">
                  <c:v>16</c:v>
                </c:pt>
                <c:pt idx="2">
                  <c:v>20</c:v>
                </c:pt>
                <c:pt idx="3">
                  <c:v>18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FF-435A-A44E-2105FE211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581503"/>
        <c:axId val="825576223"/>
      </c:barChart>
      <c:catAx>
        <c:axId val="82558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76223"/>
        <c:crosses val="autoZero"/>
        <c:auto val="1"/>
        <c:lblAlgn val="ctr"/>
        <c:lblOffset val="100"/>
        <c:noMultiLvlLbl val="0"/>
      </c:catAx>
      <c:valAx>
        <c:axId val="8255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81503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Appointment Status Distribution</a:t>
            </a:r>
            <a:endParaRPr lang="en-US" sz="16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Sheet3!$AH$15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99-435A-A140-E046FB5850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99-435A-A140-E046FB5850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99-435A-A140-E046FB5850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Sheet3!$AG$16:$AG$18</c:f>
              <c:strCache>
                <c:ptCount val="3"/>
                <c:pt idx="0">
                  <c:v>Completed</c:v>
                </c:pt>
                <c:pt idx="1">
                  <c:v>Cancelled</c:v>
                </c:pt>
                <c:pt idx="2">
                  <c:v>No Show</c:v>
                </c:pt>
              </c:strCache>
            </c:strRef>
          </c:cat>
          <c:val>
            <c:numRef>
              <c:f>Sheet3!$AH$16:$AH$18</c:f>
              <c:numCache>
                <c:formatCode>General</c:formatCode>
                <c:ptCount val="3"/>
                <c:pt idx="0">
                  <c:v>336</c:v>
                </c:pt>
                <c:pt idx="1">
                  <c:v>79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99-435A-A140-E046FB5850C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No Show Rate by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530573517342146E-2"/>
          <c:y val="0.23532755003885122"/>
          <c:w val="0.87526911052389378"/>
          <c:h val="0.66292491475840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Sheet3!$CQ$11</c:f>
              <c:strCache>
                <c:ptCount val="1"/>
                <c:pt idx="0">
                  <c:v>No Show Rate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Sheet3!$CP$12:$CP$15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Late Evening</c:v>
                </c:pt>
                <c:pt idx="3">
                  <c:v>Morning</c:v>
                </c:pt>
              </c:strCache>
            </c:strRef>
          </c:cat>
          <c:val>
            <c:numRef>
              <c:f>Sheet3!$CQ$12:$CQ$15</c:f>
              <c:numCache>
                <c:formatCode>0%</c:formatCode>
                <c:ptCount val="4"/>
                <c:pt idx="0">
                  <c:v>0.2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7-4DC0-95DE-63090F15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8091936"/>
        <c:axId val="228884480"/>
      </c:barChart>
      <c:catAx>
        <c:axId val="22809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84480"/>
        <c:crosses val="autoZero"/>
        <c:auto val="1"/>
        <c:lblAlgn val="ctr"/>
        <c:lblOffset val="100"/>
        <c:noMultiLvlLbl val="0"/>
      </c:catAx>
      <c:valAx>
        <c:axId val="2288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9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No Show Rate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Sheet3!$CU$11</c:f>
              <c:strCache>
                <c:ptCount val="1"/>
                <c:pt idx="0">
                  <c:v>No Show Rate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Sheet3!$CT$12:$CT$18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Sheet3!$CU$12:$CU$18</c:f>
              <c:numCache>
                <c:formatCode>0.00%</c:formatCode>
                <c:ptCount val="7"/>
                <c:pt idx="0">
                  <c:v>0.1923</c:v>
                </c:pt>
                <c:pt idx="1">
                  <c:v>0.21049999999999999</c:v>
                </c:pt>
                <c:pt idx="2">
                  <c:v>0.14749999999999999</c:v>
                </c:pt>
                <c:pt idx="3">
                  <c:v>0.15379999999999999</c:v>
                </c:pt>
                <c:pt idx="4">
                  <c:v>0.1739</c:v>
                </c:pt>
                <c:pt idx="5">
                  <c:v>0.1507</c:v>
                </c:pt>
                <c:pt idx="6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7-4BED-8EE3-B7BF9D7CE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047168"/>
        <c:axId val="517041408"/>
      </c:barChart>
      <c:catAx>
        <c:axId val="5170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41408"/>
        <c:crosses val="autoZero"/>
        <c:auto val="1"/>
        <c:lblAlgn val="ctr"/>
        <c:lblOffset val="100"/>
        <c:noMultiLvlLbl val="0"/>
      </c:catAx>
      <c:valAx>
        <c:axId val="5170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47168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No Show Rate by Doctor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Sheet3!$CY$11</c:f>
              <c:strCache>
                <c:ptCount val="1"/>
                <c:pt idx="0">
                  <c:v>No Show Rate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Sheet3!$CX$12:$CX$21</c:f>
              <c:strCache>
                <c:ptCount val="10"/>
                <c:pt idx="0">
                  <c:v>Dr. Gupta</c:v>
                </c:pt>
                <c:pt idx="1">
                  <c:v>Dr. Joshi</c:v>
                </c:pt>
                <c:pt idx="2">
                  <c:v>Dr. Khan</c:v>
                </c:pt>
                <c:pt idx="3">
                  <c:v>Dr. Mehta</c:v>
                </c:pt>
                <c:pt idx="4">
                  <c:v>Dr. Patel</c:v>
                </c:pt>
                <c:pt idx="5">
                  <c:v>Dr. Rao</c:v>
                </c:pt>
                <c:pt idx="6">
                  <c:v>Dr. Shah</c:v>
                </c:pt>
                <c:pt idx="7">
                  <c:v>Dr. Sharma</c:v>
                </c:pt>
                <c:pt idx="8">
                  <c:v>Dr. Singh</c:v>
                </c:pt>
                <c:pt idx="9">
                  <c:v>Dr. Verma</c:v>
                </c:pt>
              </c:strCache>
            </c:strRef>
          </c:cat>
          <c:val>
            <c:numRef>
              <c:f>Sheet3!$CY$12:$CY$21</c:f>
              <c:numCache>
                <c:formatCode>0.0%</c:formatCode>
                <c:ptCount val="10"/>
                <c:pt idx="0">
                  <c:v>8.1632653061224483E-2</c:v>
                </c:pt>
                <c:pt idx="1">
                  <c:v>0.18</c:v>
                </c:pt>
                <c:pt idx="2">
                  <c:v>0.17647058823529413</c:v>
                </c:pt>
                <c:pt idx="3">
                  <c:v>0.1111111111111111</c:v>
                </c:pt>
                <c:pt idx="4">
                  <c:v>0.13725490196078433</c:v>
                </c:pt>
                <c:pt idx="5">
                  <c:v>0.1875</c:v>
                </c:pt>
                <c:pt idx="6">
                  <c:v>0.21568627450980393</c:v>
                </c:pt>
                <c:pt idx="7">
                  <c:v>0.17241379310344829</c:v>
                </c:pt>
                <c:pt idx="8">
                  <c:v>0.22</c:v>
                </c:pt>
                <c:pt idx="9">
                  <c:v>0.16393442622950818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F-4916-895A-5D33773D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051968"/>
        <c:axId val="517046688"/>
      </c:barChart>
      <c:catAx>
        <c:axId val="5170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46688"/>
        <c:crosses val="autoZero"/>
        <c:auto val="1"/>
        <c:lblAlgn val="ctr"/>
        <c:lblOffset val="100"/>
        <c:noMultiLvlLbl val="0"/>
      </c:catAx>
      <c:valAx>
        <c:axId val="5170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51968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582706</xdr:colOff>
      <xdr:row>4</xdr:row>
      <xdr:rowOff>137459</xdr:rowOff>
    </xdr:from>
    <xdr:to>
      <xdr:col>109</xdr:col>
      <xdr:colOff>149412</xdr:colOff>
      <xdr:row>17</xdr:row>
      <xdr:rowOff>94130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C6A218-958D-CB40-276D-E2396029B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11546</xdr:colOff>
      <xdr:row>9</xdr:row>
      <xdr:rowOff>196273</xdr:rowOff>
    </xdr:from>
    <xdr:to>
      <xdr:col>4</xdr:col>
      <xdr:colOff>1223818</xdr:colOff>
      <xdr:row>32</xdr:row>
      <xdr:rowOff>69272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E3D82-D8F8-4D1F-8147-35CC93C4A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1050637</xdr:colOff>
      <xdr:row>10</xdr:row>
      <xdr:rowOff>159986</xdr:rowOff>
    </xdr:from>
    <xdr:to>
      <xdr:col>9</xdr:col>
      <xdr:colOff>79602</xdr:colOff>
      <xdr:row>33</xdr:row>
      <xdr:rowOff>11545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425C9-4E85-4783-A07C-F53EC1E3A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825</xdr:colOff>
      <xdr:row>36</xdr:row>
      <xdr:rowOff>127824</xdr:rowOff>
    </xdr:from>
    <xdr:to>
      <xdr:col>4</xdr:col>
      <xdr:colOff>496455</xdr:colOff>
      <xdr:row>56</xdr:row>
      <xdr:rowOff>162460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7A9592-6B85-4CA4-AA1B-26EC1E398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773546</xdr:colOff>
      <xdr:row>36</xdr:row>
      <xdr:rowOff>57727</xdr:rowOff>
    </xdr:from>
    <xdr:to>
      <xdr:col>8</xdr:col>
      <xdr:colOff>1454727</xdr:colOff>
      <xdr:row>57</xdr:row>
      <xdr:rowOff>46182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3DA628-8AF2-4F4D-8409-BAF05943C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611908</xdr:colOff>
      <xdr:row>59</xdr:row>
      <xdr:rowOff>115455</xdr:rowOff>
    </xdr:from>
    <xdr:to>
      <xdr:col>4</xdr:col>
      <xdr:colOff>600363</xdr:colOff>
      <xdr:row>82</xdr:row>
      <xdr:rowOff>138546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D5BBED-4D7C-435B-BA98-ABEFF7701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1512452</xdr:colOff>
      <xdr:row>59</xdr:row>
      <xdr:rowOff>150091</xdr:rowOff>
    </xdr:from>
    <xdr:to>
      <xdr:col>9</xdr:col>
      <xdr:colOff>0</xdr:colOff>
      <xdr:row>82</xdr:row>
      <xdr:rowOff>150091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720E4B-5A49-40E3-85B5-194CEE280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1.658942476854" createdVersion="8" refreshedVersion="8" minRefreshableVersion="3" recordCount="497" xr:uid="{2FF63D54-96DE-42EB-82AB-B2BB3D6C23B4}">
  <cacheSource type="worksheet">
    <worksheetSource name="Table1"/>
  </cacheSource>
  <cacheFields count="10">
    <cacheField name="Appointment ID" numFmtId="0">
      <sharedItems count="497">
        <s v="A10001"/>
        <s v="A10002"/>
        <s v="A10003"/>
        <s v="A10004"/>
        <s v="A10005"/>
        <s v="A10006"/>
        <s v="A10007"/>
        <s v="A10008"/>
        <s v="A10009"/>
        <s v="A10010"/>
        <s v="A10011"/>
        <s v="A10012"/>
        <s v="A10013"/>
        <s v="A10014"/>
        <s v="A10015"/>
        <s v="A10016"/>
        <s v="A10017"/>
        <s v="A10018"/>
        <s v="A10019"/>
        <s v="A10020"/>
        <s v="A10021"/>
        <s v="A10022"/>
        <s v="A10023"/>
        <s v="A10024"/>
        <s v="A10025"/>
        <s v="A10026"/>
        <s v="A10027"/>
        <s v="A10028"/>
        <s v="A10029"/>
        <s v="A10030"/>
        <s v="A10031"/>
        <s v="A10032"/>
        <s v="A10033"/>
        <s v="A10034"/>
        <s v="A10035"/>
        <s v="A10036"/>
        <s v="A10037"/>
        <s v="A10039"/>
        <s v="A10040"/>
        <s v="A10041"/>
        <s v="A10042"/>
        <s v="A10043"/>
        <s v="A10044"/>
        <s v="A10045"/>
        <s v="A10046"/>
        <s v="A10047"/>
        <s v="A10048"/>
        <s v="A10049"/>
        <s v="A10050"/>
        <s v="A10051"/>
        <s v="A10052"/>
        <s v="A10053"/>
        <s v="A10054"/>
        <s v="A10055"/>
        <s v="A10056"/>
        <s v="A10057"/>
        <s v="A10058"/>
        <s v="A10059"/>
        <s v="A10060"/>
        <s v="A10061"/>
        <s v="A10062"/>
        <s v="A10063"/>
        <s v="A10064"/>
        <s v="A10065"/>
        <s v="A10066"/>
        <s v="A10067"/>
        <s v="A10068"/>
        <s v="A10069"/>
        <s v="A10070"/>
        <s v="A10071"/>
        <s v="A10072"/>
        <s v="A10073"/>
        <s v="A10074"/>
        <s v="A10075"/>
        <s v="A10076"/>
        <s v="A10077"/>
        <s v="A10078"/>
        <s v="A10079"/>
        <s v="A10080"/>
        <s v="A10081"/>
        <s v="A10082"/>
        <s v="A10083"/>
        <s v="A10084"/>
        <s v="A10085"/>
        <s v="A10086"/>
        <s v="A10087"/>
        <s v="A10088"/>
        <s v="A10089"/>
        <s v="A10090"/>
        <s v="A10091"/>
        <s v="A10313"/>
        <s v="A10093"/>
        <s v="A10094"/>
        <s v="A10095"/>
        <s v="A10096"/>
        <s v="A10097"/>
        <s v="A10098"/>
        <s v="A10099"/>
        <s v="A10100"/>
        <s v="A10101"/>
        <s v="A10102"/>
        <s v="A10103"/>
        <s v="A10104"/>
        <s v="A10105"/>
        <s v="A10106"/>
        <s v="A10107"/>
        <s v="A10108"/>
        <s v="A10109"/>
        <s v="A10110"/>
        <s v="A10111"/>
        <s v="A10112"/>
        <s v="A10113"/>
        <s v="A10114"/>
        <s v="A10115"/>
        <s v="A10116"/>
        <s v="A10117"/>
        <s v="A10118"/>
        <s v="A10119"/>
        <s v="A10120"/>
        <s v="A10121"/>
        <s v="A10122"/>
        <s v="A10123"/>
        <s v="A10124"/>
        <s v="A10125"/>
        <s v="A10126"/>
        <s v="A10127"/>
        <s v="A10128"/>
        <s v="A10129"/>
        <s v="A10130"/>
        <s v="A10131"/>
        <s v="A10132"/>
        <s v="A10133"/>
        <s v="A10134"/>
        <s v="A10135"/>
        <s v="A10136"/>
        <s v="A10137"/>
        <s v="A10138"/>
        <s v="A10139"/>
        <s v="A10140"/>
        <s v="A10141"/>
        <s v="A10142"/>
        <s v="A10143"/>
        <s v="A10144"/>
        <s v="A10145"/>
        <s v="A10146"/>
        <s v="A10147"/>
        <s v="A10148"/>
        <s v="A10149"/>
        <s v="A10150"/>
        <s v="A10151"/>
        <s v="A10152"/>
        <s v="A10153"/>
        <s v="A10154"/>
        <s v="A10155"/>
        <s v="A10156"/>
        <s v="A10157"/>
        <s v="A10158"/>
        <s v="A10159"/>
        <s v="A10160"/>
        <s v="A10161"/>
        <s v="A10162"/>
        <s v="A10163"/>
        <s v="A10164"/>
        <s v="A10165"/>
        <s v="A10166"/>
        <s v="A10167"/>
        <s v="A10168"/>
        <s v="A10169"/>
        <s v="A10170"/>
        <s v="A10171"/>
        <s v="A10172"/>
        <s v="A10173"/>
        <s v="A10174"/>
        <s v="A10175"/>
        <s v="A10176"/>
        <s v="A10177"/>
        <s v="A10178"/>
        <s v="A10179"/>
        <s v="A10180"/>
        <s v="A10181"/>
        <s v="A10182"/>
        <s v="A10183"/>
        <s v="A10184"/>
        <s v="A10185"/>
        <s v="A10186"/>
        <s v="A10187"/>
        <s v="A10188"/>
        <s v="A10190"/>
        <s v="A10191"/>
        <s v="A10192"/>
        <s v="A10193"/>
        <s v="A10194"/>
        <s v="A10195"/>
        <s v="A10196"/>
        <s v="A10197"/>
        <s v="A10198"/>
        <s v="A10199"/>
        <s v="A10200"/>
        <s v="A10201"/>
        <s v="A10202"/>
        <s v="A10203"/>
        <s v="A10204"/>
        <s v="A10205"/>
        <s v="A10206"/>
        <s v="A10207"/>
        <s v="A10208"/>
        <s v="A10209"/>
        <s v="A10210"/>
        <s v="A10211"/>
        <s v="A10212"/>
        <s v="A10213"/>
        <s v="A10214"/>
        <s v="A10215"/>
        <s v="A10216"/>
        <s v="A10217"/>
        <s v="A10218"/>
        <s v="A10219"/>
        <s v="A10220"/>
        <s v="A10221"/>
        <s v="A10222"/>
        <s v="A10223"/>
        <s v="A10224"/>
        <s v="A10225"/>
        <s v="A10226"/>
        <s v="A10227"/>
        <s v="A10228"/>
        <s v="A10229"/>
        <s v="A10230"/>
        <s v="A10231"/>
        <s v="A10232"/>
        <s v="A10233"/>
        <s v="A10234"/>
        <s v="A10235"/>
        <s v="A10236"/>
        <s v="A10237"/>
        <s v="A10238"/>
        <s v="A10239"/>
        <s v="A10240"/>
        <s v="A10241"/>
        <s v="A10242"/>
        <s v="A10243"/>
        <s v="A10244"/>
        <s v="A10245"/>
        <s v="A10246"/>
        <s v="A10247"/>
        <s v="A10248"/>
        <s v="A10249"/>
        <s v="A10250"/>
        <s v="A10251"/>
        <s v="A10252"/>
        <s v="A10253"/>
        <s v="A10254"/>
        <s v="A10255"/>
        <s v="A10256"/>
        <s v="A10257"/>
        <s v="A10258"/>
        <s v="A10259"/>
        <s v="A10260"/>
        <s v="A10261"/>
        <s v="A10262"/>
        <s v="A10263"/>
        <s v="A10264"/>
        <s v="A10265"/>
        <s v="A10266"/>
        <s v="A10267"/>
        <s v="A10268"/>
        <s v="A10269"/>
        <s v="A10270"/>
        <s v="A10271"/>
        <s v="A10272"/>
        <s v="A10273"/>
        <s v="A10274"/>
        <s v="A10275"/>
        <s v="A10276"/>
        <s v="A10277"/>
        <s v="A10278"/>
        <s v="A10279"/>
        <s v="A10280"/>
        <s v="A10281"/>
        <s v="A10282"/>
        <s v="A10283"/>
        <s v="A10284"/>
        <s v="A10285"/>
        <s v="A10286"/>
        <s v="A10287"/>
        <s v="A10288"/>
        <s v="A10289"/>
        <s v="A10290"/>
        <s v="A10291"/>
        <s v="A10292"/>
        <s v="A10293"/>
        <s v="A10294"/>
        <s v="A10295"/>
        <s v="A10296"/>
        <s v="A10297"/>
        <s v="A10298"/>
        <s v="A10299"/>
        <s v="A10300"/>
        <s v="A10301"/>
        <s v="A10302"/>
        <s v="A10303"/>
        <s v="A10304"/>
        <s v="A10305"/>
        <s v="A10306"/>
        <s v="A10307"/>
        <s v="A10308"/>
        <s v="A10309"/>
        <s v="A10310"/>
        <s v="A10311"/>
        <s v="A10312"/>
        <s v="A10092"/>
        <s v="A10314"/>
        <s v="A10315"/>
        <s v="A10316"/>
        <s v="A10317"/>
        <s v="A10318"/>
        <s v="A10319"/>
        <s v="A10320"/>
        <s v="A10321"/>
        <s v="A10322"/>
        <s v="A10323"/>
        <s v="A10324"/>
        <s v="A10325"/>
        <s v="A10326"/>
        <s v="A10327"/>
        <s v="A10328"/>
        <s v="A10329"/>
        <s v="A10330"/>
        <s v="A10331"/>
        <s v="A10332"/>
        <s v="A10333"/>
        <s v="A10334"/>
        <s v="A10335"/>
        <s v="A10336"/>
        <s v="A10337"/>
        <s v="A10338"/>
        <s v="A10339"/>
        <s v="A10340"/>
        <s v="A10341"/>
        <s v="A10342"/>
        <s v="A10343"/>
        <s v="A10344"/>
        <s v="A10345"/>
        <s v="A10346"/>
        <s v="A10347"/>
        <s v="A10348"/>
        <s v="A10349"/>
        <s v="A10350"/>
        <s v="A10351"/>
        <s v="A10352"/>
        <s v="A10353"/>
        <s v="A10354"/>
        <s v="A10355"/>
        <s v="A10356"/>
        <s v="A10357"/>
        <s v="A10358"/>
        <s v="A10359"/>
        <s v="A10360"/>
        <s v="A10361"/>
        <s v="A10362"/>
        <s v="A10363"/>
        <s v="A10364"/>
        <s v="A10365"/>
        <s v="A10366"/>
        <s v="A10367"/>
        <s v="A10368"/>
        <s v="A10369"/>
        <s v="A10370"/>
        <s v="A10371"/>
        <s v="A10372"/>
        <s v="A10373"/>
        <s v="A10374"/>
        <s v="A10375"/>
        <s v="A10376"/>
        <s v="A10377"/>
        <s v="A10378"/>
        <s v="A10379"/>
        <s v="A10380"/>
        <s v="A10381"/>
        <s v="A10382"/>
        <s v="A10383"/>
        <s v="A10384"/>
        <s v="A10385"/>
        <s v="A10386"/>
        <s v="A10387"/>
        <s v="A10388"/>
        <s v="A10389"/>
        <s v="A10390"/>
        <s v="A10391"/>
        <s v="A10392"/>
        <s v="A10393"/>
        <s v="A10394"/>
        <s v="A10395"/>
        <s v="A10396"/>
        <s v="A10397"/>
        <s v="A10398"/>
        <s v="A10399"/>
        <s v="A10400"/>
        <s v="A10401"/>
        <s v="A10402"/>
        <s v="A10403"/>
        <s v="A10404"/>
        <s v="A10405"/>
        <s v="A10406"/>
        <s v="A10407"/>
        <s v="A10408"/>
        <s v="A10409"/>
        <s v="A10410"/>
        <s v="A10411"/>
        <s v="A10412"/>
        <s v="A10413"/>
        <s v="A10414"/>
        <s v="A10415"/>
        <s v="A10416"/>
        <s v="A10417"/>
        <s v="A10418"/>
        <s v="A10419"/>
        <s v="A10420"/>
        <s v="A10421"/>
        <s v="A10423"/>
        <s v="A10424"/>
        <s v="A10425"/>
        <s v="A10426"/>
        <s v="A10427"/>
        <s v="A10428"/>
        <s v="A10429"/>
        <s v="A10430"/>
        <s v="A10431"/>
        <s v="A10432"/>
        <s v="A10433"/>
        <s v="A10434"/>
        <s v="A10435"/>
        <s v="A10436"/>
        <s v="A10437"/>
        <s v="A10438"/>
        <s v="A10439"/>
        <s v="A10440"/>
        <s v="A10441"/>
        <s v="A10442"/>
        <s v="A10443"/>
        <s v="A10444"/>
        <s v="A10445"/>
        <s v="A10446"/>
        <s v="A10447"/>
        <s v="A10448"/>
        <s v="A10449"/>
        <s v="A10450"/>
        <s v="A10451"/>
        <s v="A10452"/>
        <s v="A10453"/>
        <s v="A10454"/>
        <s v="A10455"/>
        <s v="A10456"/>
        <s v="A10457"/>
        <s v="A10458"/>
        <s v="A10459"/>
        <s v="A10460"/>
        <s v="A10461"/>
        <s v="A10462"/>
        <s v="A10463"/>
        <s v="A10464"/>
        <s v="A10465"/>
        <s v="A10466"/>
        <s v="A10467"/>
        <s v="A10468"/>
        <s v="A10469"/>
        <s v="A10470"/>
        <s v="A10471"/>
        <s v="A10472"/>
        <s v="A10473"/>
        <s v="A10474"/>
        <s v="A10475"/>
        <s v="A10476"/>
        <s v="A10477"/>
        <s v="A10478"/>
        <s v="A10479"/>
        <s v="A10480"/>
        <s v="A10481"/>
        <s v="A10482"/>
        <s v="A10483"/>
        <s v="A10484"/>
        <s v="A10485"/>
        <s v="A10486"/>
        <s v="A10487"/>
        <s v="A10488"/>
        <s v="A10489"/>
        <s v="A10490"/>
        <s v="A10491"/>
        <s v="A10492"/>
        <s v="A10493"/>
        <s v="A10494"/>
        <s v="A10495"/>
        <s v="A10496"/>
        <s v="A10497"/>
        <s v="A10498"/>
        <s v="A10499"/>
        <s v="A10500"/>
      </sharedItems>
    </cacheField>
    <cacheField name="Patient ID" numFmtId="0">
      <sharedItems/>
    </cacheField>
    <cacheField name="Appointment Date &amp; Time" numFmtId="165">
      <sharedItems containsSemiMixedTypes="0" containsNonDate="0" containsDate="1" containsString="0" minDate="2026-01-01T11:45:00" maxDate="2026-06-29T10:15:00" count="487">
        <d v="2026-03-12T11:15:00"/>
        <d v="2026-01-24T11:15:00"/>
        <d v="2026-05-31T12:00:00"/>
        <d v="2026-01-27T09:45:00"/>
        <d v="2026-05-18T09:45:00"/>
        <d v="2026-06-19T11:30:00"/>
        <d v="2026-06-12T14:15:00"/>
        <d v="2026-05-17T11:15:00"/>
        <d v="2026-01-09T14:45:00"/>
        <d v="2026-06-14T16:15:00"/>
        <d v="2026-04-03T11:15:00"/>
        <d v="2026-06-24T15:00:00"/>
        <d v="2026-06-24T09:30:00"/>
        <d v="2026-01-01T12:15:00"/>
        <d v="2026-02-11T17:00:00"/>
        <d v="2026-03-03T08:15:00"/>
        <d v="2026-02-02T16:15:00"/>
        <d v="2026-03-21T15:30:00"/>
        <d v="2026-03-28T08:15:00"/>
        <d v="2026-01-09T14:00:00"/>
        <d v="2026-05-27T18:45:00"/>
        <d v="2026-06-18T15:30:00"/>
        <d v="2026-03-28T09:15:00"/>
        <d v="2026-03-13T16:15:00"/>
        <d v="2026-04-08T08:45:00"/>
        <d v="2026-03-17T11:00:00"/>
        <d v="2026-05-09T17:15:00"/>
        <d v="2026-06-22T11:45:00"/>
        <d v="2026-03-08T11:30:00"/>
        <d v="2026-01-19T08:45:00"/>
        <d v="2026-02-03T14:00:00"/>
        <d v="2026-06-06T17:00:00"/>
        <d v="2026-01-28T17:15:00"/>
        <d v="2026-05-10T16:30:00"/>
        <d v="2026-03-27T10:30:00"/>
        <d v="2026-06-26T10:00:00"/>
        <d v="2026-06-08T10:15:00"/>
        <d v="2026-04-16T11:30:00"/>
        <d v="2026-04-28T14:30:00"/>
        <d v="2026-01-18T12:30:00"/>
        <d v="2026-02-15T18:30:00"/>
        <d v="2026-06-05T17:00:00"/>
        <d v="2026-05-14T17:15:00"/>
        <d v="2026-05-10T12:45:00"/>
        <d v="2026-06-20T15:15:00"/>
        <d v="2026-02-23T15:30:00"/>
        <d v="2026-03-14T17:30:00"/>
        <d v="2026-01-07T08:15:00"/>
        <d v="2026-06-28T15:45:00"/>
        <d v="2026-02-15T17:45:00"/>
        <d v="2026-06-20T17:30:00"/>
        <d v="2026-04-26T12:15:00"/>
        <d v="2026-01-20T12:15:00"/>
        <d v="2026-04-09T10:15:00"/>
        <d v="2026-02-22T15:45:00"/>
        <d v="2026-03-18T15:45:00"/>
        <d v="2026-04-22T16:00:00"/>
        <d v="2026-06-09T17:00:00"/>
        <d v="2026-04-29T10:00:00"/>
        <d v="2026-04-08T12:45:00"/>
        <d v="2026-06-16T09:00:00"/>
        <d v="2026-05-02T09:15:00"/>
        <d v="2026-02-11T12:00:00"/>
        <d v="2026-01-20T18:15:00"/>
        <d v="2026-06-19T14:00:00"/>
        <d v="2026-04-03T16:15:00"/>
        <d v="2026-06-01T12:30:00"/>
        <d v="2026-03-28T08:45:00"/>
        <d v="2026-03-13T18:30:00"/>
        <d v="2026-05-06T17:15:00"/>
        <d v="2026-03-17T11:45:00"/>
        <d v="2026-04-19T17:30:00"/>
        <d v="2026-02-19T14:00:00"/>
        <d v="2026-03-12T18:30:00"/>
        <d v="2026-01-04T17:15:00"/>
        <d v="2026-01-27T08:30:00"/>
        <d v="2026-05-03T09:00:00"/>
        <d v="2026-01-22T11:00:00"/>
        <d v="2026-03-18T18:45:00"/>
        <d v="2026-03-09T09:15:00"/>
        <d v="2026-04-26T18:45:00"/>
        <d v="2026-06-25T11:30:00"/>
        <d v="2026-06-15T10:30:00"/>
        <d v="2026-04-23T09:45:00"/>
        <d v="2026-04-23T09:00:00"/>
        <d v="2026-06-22T18:00:00"/>
        <d v="2026-03-13T10:45:00"/>
        <d v="2026-03-27T14:00:00"/>
        <d v="2026-04-27T09:30:00"/>
        <d v="2026-04-16T08:15:00"/>
        <d v="2026-03-10T17:15:00"/>
        <d v="2026-02-10T12:00:00"/>
        <d v="2026-06-15T10:45:00"/>
        <d v="2026-03-04T16:15:00"/>
        <d v="2026-03-29T17:30:00"/>
        <d v="2026-05-18T16:30:00"/>
        <d v="2026-06-28T11:45:00"/>
        <d v="2026-06-19T10:45:00"/>
        <d v="2026-05-15T16:00:00"/>
        <d v="2026-03-28T18:45:00"/>
        <d v="2026-05-19T08:00:00"/>
        <d v="2026-04-24T10:30:00"/>
        <d v="2026-04-21T10:15:00"/>
        <d v="2026-06-06T15:15:00"/>
        <d v="2026-03-07T08:45:00"/>
        <d v="2026-06-13T15:30:00"/>
        <d v="2026-04-08T18:30:00"/>
        <d v="2026-01-03T18:00:00"/>
        <d v="2026-02-26T11:30:00"/>
        <d v="2026-01-09T18:30:00"/>
        <d v="2026-02-21T10:30:00"/>
        <d v="2026-03-17T14:00:00"/>
        <d v="2026-01-24T15:00:00"/>
        <d v="2026-06-13T14:00:00"/>
        <d v="2026-06-15T09:45:00"/>
        <d v="2026-01-10T12:45:00"/>
        <d v="2026-06-21T17:45:00"/>
        <d v="2026-03-13T08:30:00"/>
        <d v="2026-05-20T14:00:00"/>
        <d v="2026-06-14T18:00:00"/>
        <d v="2026-05-31T11:15:00"/>
        <d v="2026-05-19T12:15:00"/>
        <d v="2026-01-05T10:30:00"/>
        <d v="2026-04-25T14:00:00"/>
        <d v="2026-01-16T16:45:00"/>
        <d v="2026-06-05T10:00:00"/>
        <d v="2026-04-27T17:45:00"/>
        <d v="2026-04-16T14:45:00"/>
        <d v="2026-06-20T12:30:00"/>
        <d v="2026-01-25T14:15:00"/>
        <d v="2026-06-20T15:00:00"/>
        <d v="2026-02-09T16:15:00"/>
        <d v="2026-04-20T17:00:00"/>
        <d v="2026-03-31T08:15:00"/>
        <d v="2026-01-24T17:15:00"/>
        <d v="2026-03-25T18:00:00"/>
        <d v="2026-06-19T15:45:00"/>
        <d v="2026-03-30T15:00:00"/>
        <d v="2026-06-03T08:00:00"/>
        <d v="2026-03-25T09:00:00"/>
        <d v="2026-05-09T17:30:00"/>
        <d v="2026-01-20T14:45:00"/>
        <d v="2026-01-06T14:15:00"/>
        <d v="2026-03-04T15:45:00"/>
        <d v="2026-02-13T09:00:00"/>
        <d v="2026-01-27T10:30:00"/>
        <d v="2026-04-29T18:45:00"/>
        <d v="2026-01-18T16:45:00"/>
        <d v="2026-03-21T16:45:00"/>
        <d v="2026-04-29T18:00:00"/>
        <d v="2026-05-09T10:00:00"/>
        <d v="2026-01-11T11:45:00"/>
        <d v="2026-04-10T15:30:00"/>
        <d v="2026-05-23T15:30:00"/>
        <d v="2026-03-31T12:45:00"/>
        <d v="2026-06-14T14:15:00"/>
        <d v="2026-03-21T10:15:00"/>
        <d v="2026-03-17T09:00:00"/>
        <d v="2026-02-16T18:15:00"/>
        <d v="2026-06-06T12:45:00"/>
        <d v="2026-06-23T18:45:00"/>
        <d v="2026-06-04T10:30:00"/>
        <d v="2026-03-14T09:15:00"/>
        <d v="2026-04-26T14:00:00"/>
        <d v="2026-04-06T11:00:00"/>
        <d v="2026-03-15T16:15:00"/>
        <d v="2026-02-25T10:45:00"/>
        <d v="2026-04-18T18:45:00"/>
        <d v="2026-02-06T12:45:00"/>
        <d v="2026-05-15T14:00:00"/>
        <d v="2026-06-12T15:30:00"/>
        <d v="2026-05-29T14:15:00"/>
        <d v="2026-06-11T10:15:00"/>
        <d v="2026-01-11T14:30:00"/>
        <d v="2026-03-15T14:00:00"/>
        <d v="2026-04-23T15:30:00"/>
        <d v="2026-01-22T15:00:00"/>
        <d v="2026-01-21T14:30:00"/>
        <d v="2026-04-25T08:30:00"/>
        <d v="2026-05-12T10:00:00"/>
        <d v="2026-03-02T14:30:00"/>
        <d v="2026-04-24T09:15:00"/>
        <d v="2026-01-07T10:45:00"/>
        <d v="2026-02-24T18:30:00"/>
        <d v="2026-02-14T16:00:00"/>
        <d v="2026-03-18T10:15:00"/>
        <d v="2026-01-17T12:45:00"/>
        <d v="2026-02-02T14:00:00"/>
        <d v="2026-02-03T15:00:00"/>
        <d v="2026-02-27T14:30:00"/>
        <d v="2026-05-09T10:15:00"/>
        <d v="2026-01-12T18:30:00"/>
        <d v="2026-06-14T12:45:00"/>
        <d v="2026-04-23T15:45:00"/>
        <d v="2026-04-13T10:30:00"/>
        <d v="2026-03-10T16:15:00"/>
        <d v="2026-03-05T10:30:00"/>
        <d v="2026-05-08T12:45:00"/>
        <d v="2026-05-30T14:00:00"/>
        <d v="2026-01-28T15:15:00"/>
        <d v="2026-01-14T18:15:00"/>
        <d v="2026-05-21T12:00:00"/>
        <d v="2026-02-06T11:45:00"/>
        <d v="2026-05-13T16:15:00"/>
        <d v="2026-06-07T12:30:00"/>
        <d v="2026-04-05T14:00:00"/>
        <d v="2026-01-14T18:45:00"/>
        <d v="2026-05-27T09:15:00"/>
        <d v="2026-04-16T17:45:00"/>
        <d v="2026-06-19T16:45:00"/>
        <d v="2026-02-19T11:30:00"/>
        <d v="2026-03-23T16:30:00"/>
        <d v="2026-02-07T12:00:00"/>
        <d v="2026-02-21T17:30:00"/>
        <d v="2026-06-21T17:15:00"/>
        <d v="2026-01-26T10:00:00"/>
        <d v="2026-03-24T12:00:00"/>
        <d v="2026-01-10T15:45:00"/>
        <d v="2026-03-27T12:45:00"/>
        <d v="2026-03-11T11:00:00"/>
        <d v="2026-03-28T12:15:00"/>
        <d v="2026-01-23T15:00:00"/>
        <d v="2026-04-09T11:45:00"/>
        <d v="2026-01-16T09:45:00"/>
        <d v="2026-06-07T11:15:00"/>
        <d v="2026-05-18T11:15:00"/>
        <d v="2026-01-20T18:00:00"/>
        <d v="2026-05-14T16:00:00"/>
        <d v="2026-01-15T16:15:00"/>
        <d v="2026-04-12T12:00:00"/>
        <d v="2026-06-29T09:00:00"/>
        <d v="2026-06-14T15:30:00"/>
        <d v="2026-06-17T14:00:00"/>
        <d v="2026-03-18T16:45:00"/>
        <d v="2026-02-09T12:15:00"/>
        <d v="2026-01-18T09:00:00"/>
        <d v="2026-04-23T11:15:00"/>
        <d v="2026-05-28T18:30:00"/>
        <d v="2026-03-12T08:15:00"/>
        <d v="2026-05-15T14:45:00"/>
        <d v="2026-03-03T11:30:00"/>
        <d v="2026-04-17T17:15:00"/>
        <d v="2026-04-05T09:15:00"/>
        <d v="2026-05-03T11:30:00"/>
        <d v="2026-06-28T18:15:00"/>
        <d v="2026-05-17T14:30:00"/>
        <d v="2026-03-23T11:30:00"/>
        <d v="2026-05-22T18:45:00"/>
        <d v="2026-05-08T17:30:00"/>
        <d v="2026-02-13T10:45:00"/>
        <d v="2026-01-02T15:15:00"/>
        <d v="2026-04-06T08:45:00"/>
        <d v="2026-05-16T12:30:00"/>
        <d v="2026-05-15T10:15:00"/>
        <d v="2026-01-21T14:45:00"/>
        <d v="2026-01-24T15:45:00"/>
        <d v="2026-05-08T15:30:00"/>
        <d v="2026-03-11T08:00:00"/>
        <d v="2026-02-23T18:15:00"/>
        <d v="2026-05-26T15:30:00"/>
        <d v="2026-04-22T11:00:00"/>
        <d v="2026-04-26T16:15:00"/>
        <d v="2026-01-22T18:30:00"/>
        <d v="2026-04-10T14:30:00"/>
        <d v="2026-01-27T10:00:00"/>
        <d v="2026-04-01T17:00:00"/>
        <d v="2026-04-16T15:00:00"/>
        <d v="2026-02-05T12:30:00"/>
        <d v="2026-04-18T12:45:00"/>
        <d v="2026-04-28T09:15:00"/>
        <d v="2026-03-26T16:30:00"/>
        <d v="2026-05-03T14:15:00"/>
        <d v="2026-03-13T15:30:00"/>
        <d v="2026-04-23T12:00:00"/>
        <d v="2026-04-19T15:00:00"/>
        <d v="2026-04-03T17:00:00"/>
        <d v="2026-05-25T15:30:00"/>
        <d v="2026-04-25T14:45:00"/>
        <d v="2026-01-27T12:45:00"/>
        <d v="2026-04-27T11:45:00"/>
        <d v="2026-03-18T08:00:00"/>
        <d v="2026-05-22T10:30:00"/>
        <d v="2026-02-17T15:45:00"/>
        <d v="2026-04-10T08:15:00"/>
        <d v="2026-04-04T14:15:00"/>
        <d v="2026-06-06T15:00:00"/>
        <d v="2026-06-22T10:30:00"/>
        <d v="2026-05-11T15:45:00"/>
        <d v="2026-06-12T17:15:00"/>
        <d v="2026-04-26T18:00:00"/>
        <d v="2026-04-15T16:45:00"/>
        <d v="2026-02-26T12:00:00"/>
        <d v="2026-05-21T17:00:00"/>
        <d v="2026-04-19T09:15:00"/>
        <d v="2026-01-31T11:15:00"/>
        <d v="2026-02-22T11:00:00"/>
        <d v="2026-03-16T18:30:00"/>
        <d v="2026-06-29T10:15:00"/>
        <d v="2026-05-28T12:45:00"/>
        <d v="2026-06-27T14:45:00"/>
        <d v="2026-01-17T17:45:00"/>
        <d v="2026-03-14T14:15:00"/>
        <d v="2026-06-10T16:00:00"/>
        <d v="2026-06-26T10:30:00"/>
        <d v="2026-06-20T10:00:00"/>
        <d v="2026-01-01T11:45:00"/>
        <d v="2026-06-28T14:00:00"/>
        <d v="2026-01-27T09:30:00"/>
        <d v="2026-05-16T18:00:00"/>
        <d v="2026-06-07T16:15:00"/>
        <d v="2026-03-22T10:15:00"/>
        <d v="2026-05-13T18:15:00"/>
        <d v="2026-01-29T11:45:00"/>
        <d v="2026-04-10T18:45:00"/>
        <d v="2026-05-31T09:00:00"/>
        <d v="2026-06-10T17:45:00"/>
        <d v="2026-01-21T17:15:00"/>
        <d v="2026-01-31T08:15:00"/>
        <d v="2026-02-12T14:15:00"/>
        <d v="2026-03-11T17:00:00"/>
        <d v="2026-01-12T08:15:00"/>
        <d v="2026-05-22T15:15:00"/>
        <d v="2026-01-31T17:00:00"/>
        <d v="2026-03-14T12:30:00"/>
        <d v="2026-05-25T12:15:00"/>
        <d v="2026-02-08T08:45:00"/>
        <d v="2026-02-06T12:00:00"/>
        <d v="2026-05-29T09:15:00"/>
        <d v="2026-03-16T12:30:00"/>
        <d v="2026-02-21T10:00:00"/>
        <d v="2026-01-31T17:30:00"/>
        <d v="2026-05-12T08:30:00"/>
        <d v="2026-01-25T16:00:00"/>
        <d v="2026-04-13T14:00:00"/>
        <d v="2026-06-15T16:15:00"/>
        <d v="2026-05-27T15:45:00"/>
        <d v="2026-02-17T12:30:00"/>
        <d v="2026-05-21T16:00:00"/>
        <d v="2026-06-11T17:00:00"/>
        <d v="2026-04-10T12:15:00"/>
        <d v="2026-05-01T17:30:00"/>
        <d v="2026-03-10T17:00:00"/>
        <d v="2026-03-02T18:30:00"/>
        <d v="2026-05-25T11:45:00"/>
        <d v="2026-03-01T18:15:00"/>
        <d v="2026-02-03T14:15:00"/>
        <d v="2026-01-19T14:45:00"/>
        <d v="2026-04-22T16:30:00"/>
        <d v="2026-04-07T12:30:00"/>
        <d v="2026-02-16T18:30:00"/>
        <d v="2026-01-20T11:30:00"/>
        <d v="2026-03-09T11:15:00"/>
        <d v="2026-04-09T16:45:00"/>
        <d v="2026-01-26T16:15:00"/>
        <d v="2026-03-08T09:00:00"/>
        <d v="2026-01-26T14:15:00"/>
        <d v="2026-01-25T08:45:00"/>
        <d v="2026-01-01T15:00:00"/>
        <d v="2026-02-13T12:00:00"/>
        <d v="2026-01-24T17:45:00"/>
        <d v="2026-01-12T12:45:00"/>
        <d v="2026-01-22T14:45:00"/>
        <d v="2026-05-18T16:15:00"/>
        <d v="2026-01-31T16:15:00"/>
        <d v="2026-01-21T15:15:00"/>
        <d v="2026-04-10T17:45:00"/>
        <d v="2026-01-29T15:15:00"/>
        <d v="2026-03-15T17:30:00"/>
        <d v="2026-03-12T15:15:00"/>
        <d v="2026-06-26T11:00:00"/>
        <d v="2026-03-19T12:30:00"/>
        <d v="2026-03-24T12:45:00"/>
        <d v="2026-05-13T14:00:00"/>
        <d v="2026-02-14T11:15:00"/>
        <d v="2026-03-12T14:45:00"/>
        <d v="2026-05-06T18:45:00"/>
        <d v="2026-06-26T09:30:00"/>
        <d v="2026-06-23T11:30:00"/>
        <d v="2026-06-15T10:00:00"/>
        <d v="2026-03-31T16:30:00"/>
        <d v="2026-05-24T18:30:00"/>
        <d v="2026-03-12T12:30:00"/>
        <d v="2026-06-19T14:15:00"/>
        <d v="2026-04-14T15:00:00"/>
        <d v="2026-06-21T14:30:00"/>
        <d v="2026-03-08T17:15:00"/>
        <d v="2026-03-20T15:30:00"/>
        <d v="2026-01-14T18:00:00"/>
        <d v="2026-02-16T09:45:00"/>
        <d v="2026-02-23T10:15:00"/>
        <d v="2026-05-03T15:00:00"/>
        <d v="2026-01-05T08:15:00"/>
        <d v="2026-02-12T09:00:00"/>
        <d v="2026-05-06T14:15:00"/>
        <d v="2026-01-06T18:15:00"/>
        <d v="2026-06-02T08:00:00"/>
        <d v="2026-02-01T17:30:00"/>
        <d v="2026-06-19T17:30:00"/>
        <d v="2026-03-14T09:00:00"/>
        <d v="2026-04-02T15:30:00"/>
        <d v="2026-03-02T08:00:00"/>
        <d v="2026-05-11T09:00:00"/>
        <d v="2026-01-24T14:30:00"/>
        <d v="2026-06-26T16:45:00"/>
        <d v="2026-04-17T18:45:00"/>
        <d v="2026-06-25T10:45:00"/>
        <d v="2026-03-08T14:00:00"/>
        <d v="2026-04-21T11:45:00"/>
        <d v="2026-05-07T10:00:00"/>
        <d v="2026-05-21T15:45:00"/>
        <d v="2026-01-24T18:30:00"/>
        <d v="2026-02-27T16:30:00"/>
        <d v="2026-01-25T11:00:00"/>
        <d v="2026-02-12T16:15:00"/>
        <d v="2026-04-11T11:45:00"/>
        <d v="2026-05-11T10:15:00"/>
        <d v="2026-04-18T18:15:00"/>
        <d v="2026-02-05T15:30:00"/>
        <d v="2026-06-09T12:30:00"/>
        <d v="2026-05-24T16:45:00"/>
        <d v="2026-01-07T15:15:00"/>
        <d v="2026-02-07T08:30:00"/>
        <d v="2026-06-15T17:45:00"/>
        <d v="2026-04-17T14:00:00"/>
        <d v="2026-02-19T12:45:00"/>
        <d v="2026-04-20T12:30:00"/>
        <d v="2026-02-09T08:15:00"/>
        <d v="2026-01-19T14:15:00"/>
        <d v="2026-01-24T14:15:00"/>
        <d v="2026-05-24T08:00:00"/>
        <d v="2026-04-08T09:45:00"/>
        <d v="2026-05-12T17:45:00"/>
        <d v="2026-01-25T10:00:00"/>
        <d v="2026-05-18T15:00:00"/>
        <d v="2026-01-19T08:15:00"/>
        <d v="2026-04-26T15:45:00"/>
        <d v="2026-05-30T08:00:00"/>
        <d v="2026-03-14T16:45:00"/>
        <d v="2026-05-20T12:15:00"/>
        <d v="2026-01-02T18:45:00"/>
        <d v="2026-02-24T15:15:00"/>
        <d v="2026-06-21T18:00:00"/>
        <d v="2026-01-26T11:45:00"/>
        <d v="2026-02-19T14:45:00"/>
        <d v="2026-03-22T15:15:00"/>
        <d v="2026-02-04T14:45:00"/>
        <d v="2026-02-14T18:00:00"/>
        <d v="2026-01-05T17:00:00"/>
        <d v="2026-05-20T17:45:00"/>
        <d v="2026-02-04T16:00:00"/>
        <d v="2026-05-12T10:45:00"/>
        <d v="2026-02-26T16:15:00"/>
        <d v="2026-04-10T16:45:00"/>
        <d v="2026-03-09T18:15:00"/>
        <d v="2026-05-13T15:30:00"/>
        <d v="2026-04-23T10:15:00"/>
        <d v="2026-02-10T14:00:00"/>
        <d v="2026-05-03T11:15:00"/>
        <d v="2026-02-04T17:00:00"/>
        <d v="2026-06-03T18:00:00"/>
        <d v="2026-05-04T10:15:00"/>
        <d v="2026-04-27T18:00:00"/>
        <d v="2026-05-14T17:45:00"/>
        <d v="2026-05-17T17:00:00"/>
        <d v="2026-04-05T08:45:00"/>
        <d v="2026-04-19T10:30:00"/>
        <d v="2026-03-07T11:00:00"/>
        <d v="2026-06-26T14:45:00"/>
        <d v="2026-05-25T14:30:00"/>
        <d v="2026-02-15T14:45:00"/>
        <d v="2026-02-28T16:15:00"/>
        <d v="2026-02-11T15:00:00"/>
        <d v="2026-02-26T14:00:00"/>
        <d v="2026-06-02T08:15:00"/>
        <d v="2026-02-19T08:15:00"/>
        <d v="2026-02-10T09:30:00"/>
        <d v="2026-05-13T08:00:00"/>
        <d v="2026-06-05T11:45:00"/>
        <d v="2026-05-24T09:30:00"/>
        <d v="2026-05-25T16:15:00"/>
        <d v="2026-03-08T09:45:00"/>
        <d v="2026-05-13T17:00:00"/>
        <d v="2026-01-20T17:15:00"/>
        <d v="2026-05-08T11:15:00"/>
        <d v="2026-03-05T18:30:00"/>
        <d v="2026-05-19T08:45:00"/>
        <d v="2026-05-11T12:45:00"/>
      </sharedItems>
    </cacheField>
    <cacheField name="Doctor" numFmtId="0">
      <sharedItems count="10">
        <s v="Dr. Sharma"/>
        <s v="Dr. Joshi"/>
        <s v="Dr. Mehta"/>
        <s v="Dr. Patel"/>
        <s v="Dr. Gupta"/>
        <s v="Dr. Singh"/>
        <s v="Dr. Shah"/>
        <s v="Dr. Verma"/>
        <s v="Dr. Rao"/>
        <s v="Dr. Khan"/>
      </sharedItems>
    </cacheField>
    <cacheField name="Department" numFmtId="0">
      <sharedItems count="5">
        <s v="Cardiology"/>
        <s v="Orthopedics"/>
        <s v="Pediatrics"/>
        <s v="General Medicine"/>
        <s v="Dermatology"/>
      </sharedItems>
    </cacheField>
    <cacheField name="City" numFmtId="0">
      <sharedItems count="4">
        <s v="Indore"/>
        <s v="Bhopal"/>
        <s v="Dhar"/>
        <s v="Ujjain"/>
      </sharedItems>
    </cacheField>
    <cacheField name="Status" numFmtId="0">
      <sharedItems count="3">
        <s v="Completed"/>
        <s v="Cancelled"/>
        <s v="No Show"/>
      </sharedItems>
    </cacheField>
    <cacheField name="Wait Time (min)" numFmtId="0">
      <sharedItems containsMixedTypes="1" containsNumber="1" containsInteger="1" minValue="0" maxValue="240"/>
    </cacheField>
    <cacheField name="Fee" numFmtId="0">
      <sharedItems containsMixedTypes="1" containsNumber="1" containsInteger="1" minValue="400" maxValue="1100"/>
    </cacheField>
    <cacheField name="Patient Type" numFmtId="0">
      <sharedItems count="3">
        <s v="Returning"/>
        <s v="New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521505671299" backgroundQuery="1" createdVersion="8" refreshedVersion="8" minRefreshableVersion="3" recordCount="0" supportSubquery="1" supportAdvancedDrill="1" xr:uid="{A53F40B2-8555-4850-918D-84C76772FA0A}">
  <cacheSource type="external" connectionId="1"/>
  <cacheFields count="2">
    <cacheField name="[Table1].[Day].[Day]" caption="Day" numFmtId="0" hierarchy="22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ount of Appointment ID]" caption="Count of Appointment ID" numFmtId="0" hierarchy="26" level="32767"/>
  </cacheFields>
  <cacheHierarchies count="29">
    <cacheHierarchy uniqueName="[Range].[Appointment ID]" caption="Appointment ID" attribute="1" defaultMemberUniqueName="[Range].[Appointment ID].[All]" allUniqueName="[Range].[Appointment ID].[All]" dimensionUniqueName="[Range]" displayFolder="" count="0" memberValueDatatype="130" unbalanced="0"/>
    <cacheHierarchy uniqueName="[Range].[Patient ID]" caption="Patient ID" attribute="1" defaultMemberUniqueName="[Range].[Patient ID].[All]" allUniqueName="[Range].[Patient ID].[All]" dimensionUniqueName="[Range]" displayFolder="" count="0" memberValueDatatype="130" unbalanced="0"/>
    <cacheHierarchy uniqueName="[Range].[Appointment Date &amp; Time]" caption="Appointment Date &amp; Time" attribute="1" time="1" defaultMemberUniqueName="[Range].[Appointment Date &amp; Time].[All]" allUniqueName="[Range].[Appointment Date &amp; Time].[All]" dimensionUniqueName="[Range]" displayFolder="" count="0" memberValueDatatype="7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Wait Time (min)]" caption="Wait Time (min)" attribute="1" defaultMemberUniqueName="[Range].[Wait Time (min)].[All]" allUniqueName="[Range].[Wait Time (min)].[All]" dimensionUniqueName="[Range]" displayFolder="" count="0" memberValueDatatype="130" unbalanced="0"/>
    <cacheHierarchy uniqueName="[Range].[Fee]" caption="Fee" attribute="1" defaultMemberUniqueName="[Range].[Fee].[All]" allUniqueName="[Range].[Fee].[All]" dimensionUniqueName="[Range]" displayFolder="" count="0" memberValueDatatype="130" unbalanced="0"/>
    <cacheHierarchy uniqueName="[Range].[Patient Type]" caption="Patient Type" attribute="1" defaultMemberUniqueName="[Range].[Patient Type].[All]" allUniqueName="[Range].[Patient Typ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Appointment Slot]" caption="Appointment Slot" attribute="1" defaultMemberUniqueName="[Range].[Appointment Slot].[All]" allUniqueName="[Range].[Appointment Slot].[All]" dimensionUniqueName="[Range]" displayFolder="" count="0" memberValueDatatype="130" unbalanced="0"/>
    <cacheHierarchy uniqueName="[Table1].[Appointment ID]" caption="Appointment ID" attribute="1" defaultMemberUniqueName="[Table1].[Appointment ID].[All]" allUniqueName="[Table1].[Appointment ID].[All]" dimensionUniqueName="[Table1]" displayFolder="" count="0" memberValueDatatype="130" unbalanced="0"/>
    <cacheHierarchy uniqueName="[Table1].[Patient ID]" caption="Patient ID" attribute="1" defaultMemberUniqueName="[Table1].[Patient ID].[All]" allUniqueName="[Table1].[Patient ID].[All]" dimensionUniqueName="[Table1]" displayFolder="" count="0" memberValueDatatype="130" unbalanced="0"/>
    <cacheHierarchy uniqueName="[Table1].[Appointment Date &amp; Time]" caption="Appointment Date &amp; Time" attribute="1" time="1" defaultMemberUniqueName="[Table1].[Appointment Date &amp; Time].[All]" allUniqueName="[Table1].[Appointment Date &amp; Time].[All]" dimensionUniqueName="[Table1]" displayFolder="" count="0" memberValueDatatype="7" unbalanced="0"/>
    <cacheHierarchy uniqueName="[Table1].[Doctor]" caption="Doctor" attribute="1" defaultMemberUniqueName="[Table1].[Doctor].[All]" allUniqueName="[Table1].[Docto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Wait Time (min)]" caption="Wait Time (min)" attribute="1" defaultMemberUniqueName="[Table1].[Wait Time (min)].[All]" allUniqueName="[Table1].[Wait Time (min)].[All]" dimensionUniqueName="[Table1]" displayFolder="" count="0" memberValueDatatype="130" unbalanced="0"/>
    <cacheHierarchy uniqueName="[Table1].[Fee]" caption="Fee" attribute="1" defaultMemberUniqueName="[Table1].[Fee].[All]" allUniqueName="[Table1].[Fee].[All]" dimensionUniqueName="[Table1]" displayFolder="" count="0" memberValueDatatype="130" unbalanced="0"/>
    <cacheHierarchy uniqueName="[Table1].[Patient Type]" caption="Patient Type" attribute="1" defaultMemberUniqueName="[Table1].[Patient Type].[All]" allUniqueName="[Table1].[Patient Type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ppointment ID]" caption="Count of Appointment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atus]" caption="Count of Statu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ppointment ID 2]" caption="Count of Appointment 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521504398152" backgroundQuery="1" createdVersion="8" refreshedVersion="8" minRefreshableVersion="3" recordCount="0" supportSubquery="1" supportAdvancedDrill="1" xr:uid="{F7E384CE-2A3A-4A7A-B5ED-745C4B66281D}">
  <cacheSource type="external" connectionId="1"/>
  <cacheFields count="3">
    <cacheField name="[Table1].[Day].[Day]" caption="Day" numFmtId="0" hierarchy="22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Table1].[Status].[Status]" caption="Status" numFmtId="0" hierarchy="18" level="1">
      <sharedItems count="3">
        <s v="Cancelled"/>
        <s v="Completed"/>
        <s v="No Show"/>
      </sharedItems>
    </cacheField>
    <cacheField name="[Measures].[Count of Appointment ID]" caption="Count of Appointment ID" numFmtId="0" hierarchy="26" level="32767"/>
  </cacheFields>
  <cacheHierarchies count="29">
    <cacheHierarchy uniqueName="[Range].[Appointment ID]" caption="Appointment ID" attribute="1" defaultMemberUniqueName="[Range].[Appointment ID].[All]" allUniqueName="[Range].[Appointment ID].[All]" dimensionUniqueName="[Range]" displayFolder="" count="0" memberValueDatatype="130" unbalanced="0"/>
    <cacheHierarchy uniqueName="[Range].[Patient ID]" caption="Patient ID" attribute="1" defaultMemberUniqueName="[Range].[Patient ID].[All]" allUniqueName="[Range].[Patient ID].[All]" dimensionUniqueName="[Range]" displayFolder="" count="0" memberValueDatatype="130" unbalanced="0"/>
    <cacheHierarchy uniqueName="[Range].[Appointment Date &amp; Time]" caption="Appointment Date &amp; Time" attribute="1" time="1" defaultMemberUniqueName="[Range].[Appointment Date &amp; Time].[All]" allUniqueName="[Range].[Appointment Date &amp; Time].[All]" dimensionUniqueName="[Range]" displayFolder="" count="0" memberValueDatatype="7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Wait Time (min)]" caption="Wait Time (min)" attribute="1" defaultMemberUniqueName="[Range].[Wait Time (min)].[All]" allUniqueName="[Range].[Wait Time (min)].[All]" dimensionUniqueName="[Range]" displayFolder="" count="0" memberValueDatatype="130" unbalanced="0"/>
    <cacheHierarchy uniqueName="[Range].[Fee]" caption="Fee" attribute="1" defaultMemberUniqueName="[Range].[Fee].[All]" allUniqueName="[Range].[Fee].[All]" dimensionUniqueName="[Range]" displayFolder="" count="0" memberValueDatatype="130" unbalanced="0"/>
    <cacheHierarchy uniqueName="[Range].[Patient Type]" caption="Patient Type" attribute="1" defaultMemberUniqueName="[Range].[Patient Type].[All]" allUniqueName="[Range].[Patient Typ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Appointment Slot]" caption="Appointment Slot" attribute="1" defaultMemberUniqueName="[Range].[Appointment Slot].[All]" allUniqueName="[Range].[Appointment Slot].[All]" dimensionUniqueName="[Range]" displayFolder="" count="0" memberValueDatatype="130" unbalanced="0"/>
    <cacheHierarchy uniqueName="[Table1].[Appointment ID]" caption="Appointment ID" attribute="1" defaultMemberUniqueName="[Table1].[Appointment ID].[All]" allUniqueName="[Table1].[Appointment ID].[All]" dimensionUniqueName="[Table1]" displayFolder="" count="0" memberValueDatatype="130" unbalanced="0"/>
    <cacheHierarchy uniqueName="[Table1].[Patient ID]" caption="Patient ID" attribute="1" defaultMemberUniqueName="[Table1].[Patient ID].[All]" allUniqueName="[Table1].[Patient ID].[All]" dimensionUniqueName="[Table1]" displayFolder="" count="0" memberValueDatatype="130" unbalanced="0"/>
    <cacheHierarchy uniqueName="[Table1].[Appointment Date &amp; Time]" caption="Appointment Date &amp; Time" attribute="1" time="1" defaultMemberUniqueName="[Table1].[Appointment Date &amp; Time].[All]" allUniqueName="[Table1].[Appointment Date &amp; Time].[All]" dimensionUniqueName="[Table1]" displayFolder="" count="0" memberValueDatatype="7" unbalanced="0"/>
    <cacheHierarchy uniqueName="[Table1].[Doctor]" caption="Doctor" attribute="1" defaultMemberUniqueName="[Table1].[Doctor].[All]" allUniqueName="[Table1].[Docto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Wait Time (min)]" caption="Wait Time (min)" attribute="1" defaultMemberUniqueName="[Table1].[Wait Time (min)].[All]" allUniqueName="[Table1].[Wait Time (min)].[All]" dimensionUniqueName="[Table1]" displayFolder="" count="0" memberValueDatatype="130" unbalanced="0"/>
    <cacheHierarchy uniqueName="[Table1].[Fee]" caption="Fee" attribute="1" defaultMemberUniqueName="[Table1].[Fee].[All]" allUniqueName="[Table1].[Fee].[All]" dimensionUniqueName="[Table1]" displayFolder="" count="0" memberValueDatatype="130" unbalanced="0"/>
    <cacheHierarchy uniqueName="[Table1].[Patient Type]" caption="Patient Type" attribute="1" defaultMemberUniqueName="[Table1].[Patient Type].[All]" allUniqueName="[Table1].[Patient Type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ppointment ID]" caption="Count of Appointment 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atus]" caption="Count of Statu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ppointment ID 2]" caption="Count of Appointment ID 2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522202893517" backgroundQuery="1" createdVersion="8" refreshedVersion="8" minRefreshableVersion="3" recordCount="0" supportSubquery="1" supportAdvancedDrill="1" xr:uid="{F955DF30-A147-4340-848C-62F41CE01C43}">
  <cacheSource type="external" connectionId="1"/>
  <cacheFields count="3">
    <cacheField name="[Range].[Appointment Slot].[Appointment Slot]" caption="Appointment Slot" numFmtId="0" hierarchy="11" level="1">
      <sharedItems count="4">
        <s v="Afternoon"/>
        <s v="Evening"/>
        <s v="Late Evening"/>
        <s v="Morning"/>
      </sharedItems>
    </cacheField>
    <cacheField name="[Range].[Status].[Status]" caption="Status" numFmtId="0" hierarchy="6" level="1">
      <sharedItems count="3">
        <s v="Cancelled"/>
        <s v="Completed"/>
        <s v="No Show"/>
      </sharedItems>
    </cacheField>
    <cacheField name="[Measures].[Count of Appointment ID 2]" caption="Count of Appointment ID 2" numFmtId="0" hierarchy="28" level="32767"/>
  </cacheFields>
  <cacheHierarchies count="29">
    <cacheHierarchy uniqueName="[Range].[Appointment ID]" caption="Appointment ID" attribute="1" defaultMemberUniqueName="[Range].[Appointment ID].[All]" allUniqueName="[Range].[Appointment ID].[All]" dimensionUniqueName="[Range]" displayFolder="" count="0" memberValueDatatype="130" unbalanced="0"/>
    <cacheHierarchy uniqueName="[Range].[Patient ID]" caption="Patient ID" attribute="1" defaultMemberUniqueName="[Range].[Patient ID].[All]" allUniqueName="[Range].[Patient ID].[All]" dimensionUniqueName="[Range]" displayFolder="" count="0" memberValueDatatype="130" unbalanced="0"/>
    <cacheHierarchy uniqueName="[Range].[Appointment Date &amp; Time]" caption="Appointment Date &amp; Time" attribute="1" time="1" defaultMemberUniqueName="[Range].[Appointment Date &amp; Time].[All]" allUniqueName="[Range].[Appointment Date &amp; Time].[All]" dimensionUniqueName="[Range]" displayFolder="" count="0" memberValueDatatype="7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Wait Time (min)]" caption="Wait Time (min)" attribute="1" defaultMemberUniqueName="[Range].[Wait Time (min)].[All]" allUniqueName="[Range].[Wait Time (min)].[All]" dimensionUniqueName="[Range]" displayFolder="" count="0" memberValueDatatype="130" unbalanced="0"/>
    <cacheHierarchy uniqueName="[Range].[Fee]" caption="Fee" attribute="1" defaultMemberUniqueName="[Range].[Fee].[All]" allUniqueName="[Range].[Fee].[All]" dimensionUniqueName="[Range]" displayFolder="" count="0" memberValueDatatype="130" unbalanced="0"/>
    <cacheHierarchy uniqueName="[Range].[Patient Type]" caption="Patient Type" attribute="1" defaultMemberUniqueName="[Range].[Patient Type].[All]" allUniqueName="[Range].[Patient Type].[All]" dimensionUniqueName="[Range]" displayFolder="" count="0" memberValueDatatype="130" unbalanced="0"/>
    <cacheHierarchy uniqueName="[Range].[Day]" caption="Day" attribute="1" defaultMemberUniqueName="[Range].[Day].[All]" allUniqueName="[Range].[Day].[All]" dimensionUniqueName="[Range]" displayFolder="" count="0" memberValueDatatype="130" unbalanced="0"/>
    <cacheHierarchy uniqueName="[Range].[Appointment Slot]" caption="Appointment Slot" attribute="1" defaultMemberUniqueName="[Range].[Appointment Slot].[All]" allUniqueName="[Range].[Appointment Slot].[All]" dimensionUniqueName="[Range]" displayFolder="" count="2" memberValueDatatype="130" unbalanced="0">
      <fieldsUsage count="2">
        <fieldUsage x="-1"/>
        <fieldUsage x="0"/>
      </fieldsUsage>
    </cacheHierarchy>
    <cacheHierarchy uniqueName="[Table1].[Appointment ID]" caption="Appointment ID" attribute="1" defaultMemberUniqueName="[Table1].[Appointment ID].[All]" allUniqueName="[Table1].[Appointment ID].[All]" dimensionUniqueName="[Table1]" displayFolder="" count="0" memberValueDatatype="130" unbalanced="0"/>
    <cacheHierarchy uniqueName="[Table1].[Patient ID]" caption="Patient ID" attribute="1" defaultMemberUniqueName="[Table1].[Patient ID].[All]" allUniqueName="[Table1].[Patient ID].[All]" dimensionUniqueName="[Table1]" displayFolder="" count="0" memberValueDatatype="130" unbalanced="0"/>
    <cacheHierarchy uniqueName="[Table1].[Appointment Date &amp; Time]" caption="Appointment Date &amp; Time" attribute="1" time="1" defaultMemberUniqueName="[Table1].[Appointment Date &amp; Time].[All]" allUniqueName="[Table1].[Appointment Date &amp; Time].[All]" dimensionUniqueName="[Table1]" displayFolder="" count="0" memberValueDatatype="7" unbalanced="0"/>
    <cacheHierarchy uniqueName="[Table1].[Doctor]" caption="Doctor" attribute="1" defaultMemberUniqueName="[Table1].[Doctor].[All]" allUniqueName="[Table1].[Doctor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Wait Time (min)]" caption="Wait Time (min)" attribute="1" defaultMemberUniqueName="[Table1].[Wait Time (min)].[All]" allUniqueName="[Table1].[Wait Time (min)].[All]" dimensionUniqueName="[Table1]" displayFolder="" count="0" memberValueDatatype="130" unbalanced="0"/>
    <cacheHierarchy uniqueName="[Table1].[Fee]" caption="Fee" attribute="1" defaultMemberUniqueName="[Table1].[Fee].[All]" allUniqueName="[Table1].[Fee].[All]" dimensionUniqueName="[Table1]" displayFolder="" count="0" memberValueDatatype="130" unbalanced="0"/>
    <cacheHierarchy uniqueName="[Table1].[Patient Type]" caption="Patient Type" attribute="1" defaultMemberUniqueName="[Table1].[Patient Type].[All]" allUniqueName="[Table1].[Patient Type].[All]" dimensionUniqueName="[Table1]" displayFolder="" count="0" memberValueDatatype="13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ppointment ID]" caption="Count of Appointment ID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atus]" caption="Count of Statu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ppointment ID 2]" caption="Count of Appointment ID 2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x v="0"/>
    <s v="P1174"/>
    <x v="0"/>
    <x v="0"/>
    <x v="0"/>
    <x v="0"/>
    <x v="0"/>
    <n v="40"/>
    <n v="1000"/>
    <x v="0"/>
  </r>
  <r>
    <x v="1"/>
    <s v="P1007"/>
    <x v="1"/>
    <x v="0"/>
    <x v="1"/>
    <x v="1"/>
    <x v="1"/>
    <n v="0"/>
    <n v="900"/>
    <x v="0"/>
  </r>
  <r>
    <x v="2"/>
    <s v="P1088"/>
    <x v="2"/>
    <x v="1"/>
    <x v="1"/>
    <x v="2"/>
    <x v="0"/>
    <n v="28"/>
    <n v="900"/>
    <x v="1"/>
  </r>
  <r>
    <x v="3"/>
    <s v="P1217"/>
    <x v="3"/>
    <x v="1"/>
    <x v="0"/>
    <x v="2"/>
    <x v="0"/>
    <n v="37"/>
    <n v="800"/>
    <x v="0"/>
  </r>
  <r>
    <x v="4"/>
    <s v="P1076"/>
    <x v="4"/>
    <x v="2"/>
    <x v="0"/>
    <x v="2"/>
    <x v="0"/>
    <n v="53"/>
    <n v="900"/>
    <x v="1"/>
  </r>
  <r>
    <x v="5"/>
    <s v="P1222"/>
    <x v="5"/>
    <x v="0"/>
    <x v="2"/>
    <x v="0"/>
    <x v="0"/>
    <n v="32"/>
    <n v="1000"/>
    <x v="0"/>
  </r>
  <r>
    <x v="6"/>
    <s v="P1054"/>
    <x v="6"/>
    <x v="3"/>
    <x v="3"/>
    <x v="2"/>
    <x v="0"/>
    <n v="19"/>
    <n v="600"/>
    <x v="1"/>
  </r>
  <r>
    <x v="7"/>
    <s v="P1070"/>
    <x v="7"/>
    <x v="4"/>
    <x v="0"/>
    <x v="1"/>
    <x v="0"/>
    <n v="46"/>
    <n v="600"/>
    <x v="0"/>
  </r>
  <r>
    <x v="8"/>
    <s v="P1055"/>
    <x v="8"/>
    <x v="0"/>
    <x v="4"/>
    <x v="2"/>
    <x v="0"/>
    <n v="44"/>
    <n v="1000"/>
    <x v="1"/>
  </r>
  <r>
    <x v="9"/>
    <s v="P1064"/>
    <x v="9"/>
    <x v="5"/>
    <x v="3"/>
    <x v="2"/>
    <x v="0"/>
    <n v="19"/>
    <n v="700"/>
    <x v="0"/>
  </r>
  <r>
    <x v="10"/>
    <s v="P1024"/>
    <x v="10"/>
    <x v="6"/>
    <x v="1"/>
    <x v="0"/>
    <x v="1"/>
    <n v="0"/>
    <n v="600"/>
    <x v="1"/>
  </r>
  <r>
    <x v="11"/>
    <s v="P1153"/>
    <x v="11"/>
    <x v="7"/>
    <x v="3"/>
    <x v="3"/>
    <x v="0"/>
    <n v="36"/>
    <n v="900"/>
    <x v="0"/>
  </r>
  <r>
    <x v="12"/>
    <s v="P1029"/>
    <x v="12"/>
    <x v="4"/>
    <x v="1"/>
    <x v="2"/>
    <x v="2"/>
    <n v="0"/>
    <n v="500"/>
    <x v="0"/>
  </r>
  <r>
    <x v="13"/>
    <s v="P1223"/>
    <x v="13"/>
    <x v="1"/>
    <x v="1"/>
    <x v="2"/>
    <x v="1"/>
    <n v="0"/>
    <n v="800"/>
    <x v="1"/>
  </r>
  <r>
    <x v="14"/>
    <s v="P1126"/>
    <x v="14"/>
    <x v="1"/>
    <x v="2"/>
    <x v="0"/>
    <x v="1"/>
    <n v="0"/>
    <n v="800"/>
    <x v="1"/>
  </r>
  <r>
    <x v="15"/>
    <s v="P1022"/>
    <x v="15"/>
    <x v="3"/>
    <x v="3"/>
    <x v="3"/>
    <x v="1"/>
    <n v="0"/>
    <n v="600"/>
    <x v="1"/>
  </r>
  <r>
    <x v="16"/>
    <s v="P1224"/>
    <x v="16"/>
    <x v="4"/>
    <x v="3"/>
    <x v="3"/>
    <x v="0"/>
    <n v="22"/>
    <n v="400"/>
    <x v="1"/>
  </r>
  <r>
    <x v="17"/>
    <s v="P1116"/>
    <x v="17"/>
    <x v="4"/>
    <x v="1"/>
    <x v="0"/>
    <x v="0"/>
    <n v="22"/>
    <n v="400"/>
    <x v="1"/>
  </r>
  <r>
    <x v="18"/>
    <s v="P1002"/>
    <x v="18"/>
    <x v="7"/>
    <x v="1"/>
    <x v="0"/>
    <x v="1"/>
    <n v="0"/>
    <n v="800"/>
    <x v="1"/>
  </r>
  <r>
    <x v="19"/>
    <s v="P1072"/>
    <x v="19"/>
    <x v="7"/>
    <x v="3"/>
    <x v="3"/>
    <x v="1"/>
    <n v="0"/>
    <n v="800"/>
    <x v="1"/>
  </r>
  <r>
    <x v="20"/>
    <s v="P1207"/>
    <x v="20"/>
    <x v="4"/>
    <x v="0"/>
    <x v="3"/>
    <x v="0"/>
    <n v="30"/>
    <n v="600"/>
    <x v="1"/>
  </r>
  <r>
    <x v="21"/>
    <s v="P1120"/>
    <x v="21"/>
    <x v="0"/>
    <x v="0"/>
    <x v="0"/>
    <x v="0"/>
    <n v="12"/>
    <n v="1100"/>
    <x v="1"/>
  </r>
  <r>
    <x v="22"/>
    <s v="P1138"/>
    <x v="22"/>
    <x v="2"/>
    <x v="4"/>
    <x v="3"/>
    <x v="0"/>
    <n v="14"/>
    <n v="1000"/>
    <x v="1"/>
  </r>
  <r>
    <x v="23"/>
    <s v="P1207"/>
    <x v="23"/>
    <x v="8"/>
    <x v="3"/>
    <x v="0"/>
    <x v="0"/>
    <n v="18"/>
    <n v="800"/>
    <x v="1"/>
  </r>
  <r>
    <x v="24"/>
    <s v="P1124"/>
    <x v="1"/>
    <x v="4"/>
    <x v="0"/>
    <x v="1"/>
    <x v="0"/>
    <n v="15"/>
    <n v="600"/>
    <x v="0"/>
  </r>
  <r>
    <x v="25"/>
    <s v="P1074"/>
    <x v="24"/>
    <x v="0"/>
    <x v="1"/>
    <x v="3"/>
    <x v="0"/>
    <n v="38"/>
    <n v="1100"/>
    <x v="0"/>
  </r>
  <r>
    <x v="26"/>
    <s v="P1016"/>
    <x v="25"/>
    <x v="7"/>
    <x v="0"/>
    <x v="2"/>
    <x v="1"/>
    <n v="0"/>
    <n v="700"/>
    <x v="1"/>
  </r>
  <r>
    <x v="27"/>
    <s v="P1021"/>
    <x v="26"/>
    <x v="2"/>
    <x v="3"/>
    <x v="1"/>
    <x v="0"/>
    <n v="24"/>
    <n v="900"/>
    <x v="1"/>
  </r>
  <r>
    <x v="28"/>
    <s v="P1064"/>
    <x v="27"/>
    <x v="4"/>
    <x v="4"/>
    <x v="0"/>
    <x v="0"/>
    <n v="11"/>
    <n v="400"/>
    <x v="1"/>
  </r>
  <r>
    <x v="29"/>
    <s v="P1102"/>
    <x v="28"/>
    <x v="5"/>
    <x v="4"/>
    <x v="1"/>
    <x v="0"/>
    <n v="42"/>
    <n v="700"/>
    <x v="0"/>
  </r>
  <r>
    <x v="30"/>
    <s v="P1026"/>
    <x v="29"/>
    <x v="5"/>
    <x v="3"/>
    <x v="0"/>
    <x v="1"/>
    <n v="0"/>
    <n v="600"/>
    <x v="1"/>
  </r>
  <r>
    <x v="31"/>
    <s v="P1073"/>
    <x v="30"/>
    <x v="6"/>
    <x v="3"/>
    <x v="1"/>
    <x v="0"/>
    <n v="25"/>
    <n v="500"/>
    <x v="0"/>
  </r>
  <r>
    <x v="32"/>
    <s v="P1077"/>
    <x v="31"/>
    <x v="6"/>
    <x v="2"/>
    <x v="0"/>
    <x v="2"/>
    <n v="0"/>
    <n v="400"/>
    <x v="1"/>
  </r>
  <r>
    <x v="33"/>
    <s v="P1155"/>
    <x v="32"/>
    <x v="9"/>
    <x v="1"/>
    <x v="1"/>
    <x v="0"/>
    <n v="22"/>
    <n v="600"/>
    <x v="0"/>
  </r>
  <r>
    <x v="34"/>
    <s v="P1163"/>
    <x v="33"/>
    <x v="1"/>
    <x v="0"/>
    <x v="3"/>
    <x v="0"/>
    <n v="12"/>
    <n v="800"/>
    <x v="0"/>
  </r>
  <r>
    <x v="35"/>
    <s v="P1142"/>
    <x v="34"/>
    <x v="0"/>
    <x v="0"/>
    <x v="3"/>
    <x v="0"/>
    <n v="28"/>
    <n v="1100"/>
    <x v="1"/>
  </r>
  <r>
    <x v="36"/>
    <s v="P1142"/>
    <x v="35"/>
    <x v="0"/>
    <x v="2"/>
    <x v="1"/>
    <x v="0"/>
    <n v="36"/>
    <n v="900"/>
    <x v="0"/>
  </r>
  <r>
    <x v="37"/>
    <s v="P1226"/>
    <x v="36"/>
    <x v="3"/>
    <x v="1"/>
    <x v="3"/>
    <x v="0"/>
    <n v="26"/>
    <n v="600"/>
    <x v="1"/>
  </r>
  <r>
    <x v="38"/>
    <s v="P1098"/>
    <x v="37"/>
    <x v="1"/>
    <x v="1"/>
    <x v="0"/>
    <x v="0"/>
    <n v="22"/>
    <n v="800"/>
    <x v="0"/>
  </r>
  <r>
    <x v="39"/>
    <s v="P1007"/>
    <x v="38"/>
    <x v="7"/>
    <x v="2"/>
    <x v="1"/>
    <x v="0"/>
    <n v="26"/>
    <n v="800"/>
    <x v="0"/>
  </r>
  <r>
    <x v="40"/>
    <s v="P1103"/>
    <x v="39"/>
    <x v="3"/>
    <x v="0"/>
    <x v="2"/>
    <x v="2"/>
    <n v="0"/>
    <n v="500"/>
    <x v="1"/>
  </r>
  <r>
    <x v="41"/>
    <s v="P1153"/>
    <x v="40"/>
    <x v="2"/>
    <x v="2"/>
    <x v="3"/>
    <x v="0"/>
    <n v="27"/>
    <n v="1000"/>
    <x v="0"/>
  </r>
  <r>
    <x v="42"/>
    <s v="P1049"/>
    <x v="41"/>
    <x v="3"/>
    <x v="4"/>
    <x v="2"/>
    <x v="0"/>
    <n v="44"/>
    <n v="500"/>
    <x v="1"/>
  </r>
  <r>
    <x v="43"/>
    <s v="P1018"/>
    <x v="42"/>
    <x v="8"/>
    <x v="0"/>
    <x v="2"/>
    <x v="0"/>
    <n v="24"/>
    <n v="800"/>
    <x v="0"/>
  </r>
  <r>
    <x v="44"/>
    <s v="P1179"/>
    <x v="43"/>
    <x v="2"/>
    <x v="1"/>
    <x v="2"/>
    <x v="0"/>
    <n v="22"/>
    <n v="1100"/>
    <x v="1"/>
  </r>
  <r>
    <x v="45"/>
    <s v="P1078"/>
    <x v="44"/>
    <x v="1"/>
    <x v="2"/>
    <x v="3"/>
    <x v="1"/>
    <n v="0"/>
    <n v="700"/>
    <x v="1"/>
  </r>
  <r>
    <x v="46"/>
    <s v="P1114"/>
    <x v="45"/>
    <x v="3"/>
    <x v="1"/>
    <x v="1"/>
    <x v="0"/>
    <n v="31"/>
    <n v="700"/>
    <x v="0"/>
  </r>
  <r>
    <x v="47"/>
    <s v="P1173"/>
    <x v="46"/>
    <x v="7"/>
    <x v="1"/>
    <x v="2"/>
    <x v="0"/>
    <n v="15"/>
    <n v="800"/>
    <x v="1"/>
  </r>
  <r>
    <x v="48"/>
    <s v="P1218"/>
    <x v="47"/>
    <x v="7"/>
    <x v="4"/>
    <x v="0"/>
    <x v="0"/>
    <n v="32"/>
    <n v="700"/>
    <x v="0"/>
  </r>
  <r>
    <x v="49"/>
    <s v="P1038"/>
    <x v="48"/>
    <x v="8"/>
    <x v="4"/>
    <x v="0"/>
    <x v="0"/>
    <n v="5"/>
    <n v="700"/>
    <x v="1"/>
  </r>
  <r>
    <x v="50"/>
    <s v="P1064"/>
    <x v="49"/>
    <x v="8"/>
    <x v="1"/>
    <x v="0"/>
    <x v="0"/>
    <n v="9"/>
    <n v="600"/>
    <x v="0"/>
  </r>
  <r>
    <x v="51"/>
    <s v="P1209"/>
    <x v="50"/>
    <x v="1"/>
    <x v="1"/>
    <x v="3"/>
    <x v="0"/>
    <n v="32"/>
    <n v="700"/>
    <x v="0"/>
  </r>
  <r>
    <x v="52"/>
    <s v="P1197"/>
    <x v="51"/>
    <x v="1"/>
    <x v="2"/>
    <x v="3"/>
    <x v="2"/>
    <n v="0"/>
    <n v="800"/>
    <x v="1"/>
  </r>
  <r>
    <x v="53"/>
    <s v="P1082"/>
    <x v="52"/>
    <x v="3"/>
    <x v="1"/>
    <x v="0"/>
    <x v="0"/>
    <n v="30"/>
    <n v="600"/>
    <x v="1"/>
  </r>
  <r>
    <x v="54"/>
    <s v="P1105"/>
    <x v="53"/>
    <x v="7"/>
    <x v="4"/>
    <x v="2"/>
    <x v="0"/>
    <n v="32"/>
    <n v="900"/>
    <x v="0"/>
  </r>
  <r>
    <x v="55"/>
    <s v="P1220"/>
    <x v="54"/>
    <x v="8"/>
    <x v="0"/>
    <x v="3"/>
    <x v="1"/>
    <n v="0"/>
    <n v="700"/>
    <x v="0"/>
  </r>
  <r>
    <x v="56"/>
    <s v="P1205"/>
    <x v="55"/>
    <x v="2"/>
    <x v="1"/>
    <x v="1"/>
    <x v="1"/>
    <n v="0"/>
    <n v="900"/>
    <x v="0"/>
  </r>
  <r>
    <x v="57"/>
    <s v="P1172"/>
    <x v="56"/>
    <x v="1"/>
    <x v="4"/>
    <x v="3"/>
    <x v="0"/>
    <n v="28"/>
    <n v="800"/>
    <x v="1"/>
  </r>
  <r>
    <x v="58"/>
    <s v="P1145"/>
    <x v="57"/>
    <x v="8"/>
    <x v="4"/>
    <x v="0"/>
    <x v="0"/>
    <n v="21"/>
    <n v="600"/>
    <x v="1"/>
  </r>
  <r>
    <x v="59"/>
    <s v="P1084"/>
    <x v="58"/>
    <x v="8"/>
    <x v="2"/>
    <x v="1"/>
    <x v="0"/>
    <n v="7"/>
    <n v="800"/>
    <x v="0"/>
  </r>
  <r>
    <x v="60"/>
    <s v="P1121"/>
    <x v="59"/>
    <x v="3"/>
    <x v="2"/>
    <x v="0"/>
    <x v="0"/>
    <n v="13"/>
    <n v="600"/>
    <x v="1"/>
  </r>
  <r>
    <x v="61"/>
    <s v="P1052"/>
    <x v="60"/>
    <x v="9"/>
    <x v="1"/>
    <x v="0"/>
    <x v="0"/>
    <n v="16"/>
    <n v="600"/>
    <x v="1"/>
  </r>
  <r>
    <x v="62"/>
    <s v="P1197"/>
    <x v="61"/>
    <x v="7"/>
    <x v="3"/>
    <x v="2"/>
    <x v="0"/>
    <n v="42"/>
    <n v="800"/>
    <x v="1"/>
  </r>
  <r>
    <x v="63"/>
    <s v="P1238"/>
    <x v="62"/>
    <x v="4"/>
    <x v="4"/>
    <x v="2"/>
    <x v="1"/>
    <n v="0"/>
    <n v="500"/>
    <x v="2"/>
  </r>
  <r>
    <x v="64"/>
    <s v="P1218"/>
    <x v="63"/>
    <x v="8"/>
    <x v="2"/>
    <x v="0"/>
    <x v="0"/>
    <n v="29"/>
    <n v="700"/>
    <x v="1"/>
  </r>
  <r>
    <x v="65"/>
    <s v="P1004"/>
    <x v="64"/>
    <x v="3"/>
    <x v="0"/>
    <x v="3"/>
    <x v="1"/>
    <n v="0"/>
    <n v="600"/>
    <x v="0"/>
  </r>
  <r>
    <x v="66"/>
    <s v="P1188"/>
    <x v="65"/>
    <x v="2"/>
    <x v="4"/>
    <x v="2"/>
    <x v="0"/>
    <n v="13"/>
    <n v="1000"/>
    <x v="0"/>
  </r>
  <r>
    <x v="67"/>
    <s v="P1072"/>
    <x v="66"/>
    <x v="5"/>
    <x v="4"/>
    <x v="3"/>
    <x v="0"/>
    <n v="28"/>
    <n v="700"/>
    <x v="1"/>
  </r>
  <r>
    <x v="68"/>
    <s v="P1125"/>
    <x v="67"/>
    <x v="5"/>
    <x v="2"/>
    <x v="1"/>
    <x v="0"/>
    <n v="20"/>
    <n v="700"/>
    <x v="0"/>
  </r>
  <r>
    <x v="69"/>
    <s v="P1133"/>
    <x v="68"/>
    <x v="3"/>
    <x v="1"/>
    <x v="1"/>
    <x v="1"/>
    <n v="0"/>
    <n v="600"/>
    <x v="1"/>
  </r>
  <r>
    <x v="70"/>
    <s v="P1166"/>
    <x v="69"/>
    <x v="1"/>
    <x v="0"/>
    <x v="3"/>
    <x v="2"/>
    <n v="0"/>
    <n v="900"/>
    <x v="0"/>
  </r>
  <r>
    <x v="71"/>
    <s v="P1079"/>
    <x v="70"/>
    <x v="0"/>
    <x v="3"/>
    <x v="2"/>
    <x v="2"/>
    <n v="0"/>
    <n v="1000"/>
    <x v="0"/>
  </r>
  <r>
    <x v="72"/>
    <s v="P1070"/>
    <x v="71"/>
    <x v="6"/>
    <x v="1"/>
    <x v="2"/>
    <x v="0"/>
    <n v="19"/>
    <n v="600"/>
    <x v="0"/>
  </r>
  <r>
    <x v="73"/>
    <s v="P1244"/>
    <x v="72"/>
    <x v="7"/>
    <x v="1"/>
    <x v="1"/>
    <x v="2"/>
    <n v="0"/>
    <n v="700"/>
    <x v="1"/>
  </r>
  <r>
    <x v="74"/>
    <s v="P1076"/>
    <x v="73"/>
    <x v="1"/>
    <x v="1"/>
    <x v="1"/>
    <x v="0"/>
    <n v="37"/>
    <n v="800"/>
    <x v="0"/>
  </r>
  <r>
    <x v="75"/>
    <s v="P1250"/>
    <x v="74"/>
    <x v="1"/>
    <x v="1"/>
    <x v="0"/>
    <x v="0"/>
    <n v="42"/>
    <n v="800"/>
    <x v="0"/>
  </r>
  <r>
    <x v="76"/>
    <s v="P1113"/>
    <x v="75"/>
    <x v="1"/>
    <x v="0"/>
    <x v="2"/>
    <x v="0"/>
    <n v="41"/>
    <n v="900"/>
    <x v="1"/>
  </r>
  <r>
    <x v="77"/>
    <s v="P1019"/>
    <x v="76"/>
    <x v="2"/>
    <x v="1"/>
    <x v="0"/>
    <x v="0"/>
    <n v="24"/>
    <n v="1100"/>
    <x v="1"/>
  </r>
  <r>
    <x v="78"/>
    <s v="P1156"/>
    <x v="77"/>
    <x v="1"/>
    <x v="4"/>
    <x v="1"/>
    <x v="1"/>
    <n v="0"/>
    <n v="900"/>
    <x v="0"/>
  </r>
  <r>
    <x v="79"/>
    <s v="P1159"/>
    <x v="78"/>
    <x v="5"/>
    <x v="1"/>
    <x v="0"/>
    <x v="0"/>
    <n v="21"/>
    <n v="600"/>
    <x v="1"/>
  </r>
  <r>
    <x v="80"/>
    <s v="P1142"/>
    <x v="79"/>
    <x v="7"/>
    <x v="0"/>
    <x v="0"/>
    <x v="0"/>
    <n v="33"/>
    <n v="800"/>
    <x v="1"/>
  </r>
  <r>
    <x v="81"/>
    <s v="P1060"/>
    <x v="80"/>
    <x v="2"/>
    <x v="4"/>
    <x v="2"/>
    <x v="0"/>
    <n v="46"/>
    <n v="1000"/>
    <x v="0"/>
  </r>
  <r>
    <x v="82"/>
    <s v="P1170"/>
    <x v="81"/>
    <x v="8"/>
    <x v="0"/>
    <x v="1"/>
    <x v="2"/>
    <n v="0"/>
    <n v="600"/>
    <x v="0"/>
  </r>
  <r>
    <x v="83"/>
    <s v="P1016"/>
    <x v="82"/>
    <x v="0"/>
    <x v="3"/>
    <x v="1"/>
    <x v="0"/>
    <n v="29"/>
    <n v="1000"/>
    <x v="0"/>
  </r>
  <r>
    <x v="84"/>
    <s v="P1180"/>
    <x v="83"/>
    <x v="6"/>
    <x v="3"/>
    <x v="3"/>
    <x v="2"/>
    <n v="0"/>
    <n v="500"/>
    <x v="0"/>
  </r>
  <r>
    <x v="85"/>
    <s v="P1155"/>
    <x v="84"/>
    <x v="6"/>
    <x v="0"/>
    <x v="2"/>
    <x v="0"/>
    <n v="25"/>
    <n v="500"/>
    <x v="1"/>
  </r>
  <r>
    <x v="86"/>
    <s v="P1148"/>
    <x v="85"/>
    <x v="0"/>
    <x v="4"/>
    <x v="0"/>
    <x v="2"/>
    <n v="0"/>
    <n v="1000"/>
    <x v="1"/>
  </r>
  <r>
    <x v="87"/>
    <s v="P1249"/>
    <x v="86"/>
    <x v="5"/>
    <x v="2"/>
    <x v="0"/>
    <x v="2"/>
    <n v="0"/>
    <n v="800"/>
    <x v="0"/>
  </r>
  <r>
    <x v="88"/>
    <s v="P1106"/>
    <x v="87"/>
    <x v="3"/>
    <x v="4"/>
    <x v="3"/>
    <x v="0"/>
    <n v="8"/>
    <n v="600"/>
    <x v="0"/>
  </r>
  <r>
    <x v="89"/>
    <s v="P1030"/>
    <x v="88"/>
    <x v="8"/>
    <x v="3"/>
    <x v="3"/>
    <x v="0"/>
    <n v="10"/>
    <n v="700"/>
    <x v="1"/>
  </r>
  <r>
    <x v="90"/>
    <s v="P1160"/>
    <x v="89"/>
    <x v="6"/>
    <x v="0"/>
    <x v="3"/>
    <x v="1"/>
    <s v="Unknown"/>
    <n v="500"/>
    <x v="0"/>
  </r>
  <r>
    <x v="91"/>
    <s v="P1226"/>
    <x v="90"/>
    <x v="0"/>
    <x v="0"/>
    <x v="3"/>
    <x v="0"/>
    <n v="44"/>
    <n v="1100"/>
    <x v="1"/>
  </r>
  <r>
    <x v="92"/>
    <s v="P1024"/>
    <x v="91"/>
    <x v="0"/>
    <x v="4"/>
    <x v="1"/>
    <x v="1"/>
    <n v="0"/>
    <n v="1100"/>
    <x v="1"/>
  </r>
  <r>
    <x v="93"/>
    <s v="P1131"/>
    <x v="92"/>
    <x v="8"/>
    <x v="4"/>
    <x v="2"/>
    <x v="2"/>
    <n v="0"/>
    <n v="700"/>
    <x v="0"/>
  </r>
  <r>
    <x v="94"/>
    <s v="P1236"/>
    <x v="93"/>
    <x v="5"/>
    <x v="2"/>
    <x v="1"/>
    <x v="0"/>
    <n v="41"/>
    <n v="700"/>
    <x v="1"/>
  </r>
  <r>
    <x v="95"/>
    <s v="P1186"/>
    <x v="94"/>
    <x v="3"/>
    <x v="1"/>
    <x v="2"/>
    <x v="0"/>
    <n v="21"/>
    <n v="600"/>
    <x v="0"/>
  </r>
  <r>
    <x v="96"/>
    <s v="P1196"/>
    <x v="95"/>
    <x v="1"/>
    <x v="2"/>
    <x v="3"/>
    <x v="0"/>
    <n v="42"/>
    <n v="700"/>
    <x v="0"/>
  </r>
  <r>
    <x v="97"/>
    <s v="P1012"/>
    <x v="96"/>
    <x v="9"/>
    <x v="4"/>
    <x v="2"/>
    <x v="0"/>
    <n v="26"/>
    <n v="700"/>
    <x v="0"/>
  </r>
  <r>
    <x v="98"/>
    <s v="P1129"/>
    <x v="97"/>
    <x v="5"/>
    <x v="4"/>
    <x v="2"/>
    <x v="0"/>
    <n v="17"/>
    <n v="700"/>
    <x v="1"/>
  </r>
  <r>
    <x v="99"/>
    <s v="P1105"/>
    <x v="98"/>
    <x v="8"/>
    <x v="4"/>
    <x v="1"/>
    <x v="2"/>
    <n v="0"/>
    <n v="700"/>
    <x v="1"/>
  </r>
  <r>
    <x v="100"/>
    <s v="P1219"/>
    <x v="99"/>
    <x v="5"/>
    <x v="2"/>
    <x v="2"/>
    <x v="2"/>
    <n v="0"/>
    <n v="700"/>
    <x v="0"/>
  </r>
  <r>
    <x v="101"/>
    <s v="P1059"/>
    <x v="100"/>
    <x v="3"/>
    <x v="0"/>
    <x v="0"/>
    <x v="0"/>
    <n v="26"/>
    <n v="600"/>
    <x v="0"/>
  </r>
  <r>
    <x v="102"/>
    <s v="P1084"/>
    <x v="101"/>
    <x v="0"/>
    <x v="2"/>
    <x v="0"/>
    <x v="0"/>
    <n v="53"/>
    <n v="1000"/>
    <x v="0"/>
  </r>
  <r>
    <x v="103"/>
    <s v="P1145"/>
    <x v="102"/>
    <x v="3"/>
    <x v="1"/>
    <x v="1"/>
    <x v="1"/>
    <n v="0"/>
    <n v="700"/>
    <x v="1"/>
  </r>
  <r>
    <x v="104"/>
    <s v="P1037"/>
    <x v="103"/>
    <x v="7"/>
    <x v="2"/>
    <x v="1"/>
    <x v="0"/>
    <n v="29"/>
    <n v="700"/>
    <x v="0"/>
  </r>
  <r>
    <x v="105"/>
    <s v="P1041"/>
    <x v="104"/>
    <x v="3"/>
    <x v="2"/>
    <x v="0"/>
    <x v="0"/>
    <n v="40"/>
    <n v="500"/>
    <x v="0"/>
  </r>
  <r>
    <x v="106"/>
    <s v="P1051"/>
    <x v="105"/>
    <x v="3"/>
    <x v="0"/>
    <x v="3"/>
    <x v="0"/>
    <n v="5"/>
    <n v="600"/>
    <x v="0"/>
  </r>
  <r>
    <x v="107"/>
    <s v="P1180"/>
    <x v="106"/>
    <x v="0"/>
    <x v="4"/>
    <x v="2"/>
    <x v="1"/>
    <n v="0"/>
    <n v="1000"/>
    <x v="1"/>
  </r>
  <r>
    <x v="108"/>
    <s v="P1214"/>
    <x v="107"/>
    <x v="5"/>
    <x v="3"/>
    <x v="2"/>
    <x v="1"/>
    <n v="0"/>
    <n v="800"/>
    <x v="1"/>
  </r>
  <r>
    <x v="109"/>
    <s v="P1161"/>
    <x v="108"/>
    <x v="6"/>
    <x v="2"/>
    <x v="0"/>
    <x v="2"/>
    <n v="0"/>
    <n v="500"/>
    <x v="1"/>
  </r>
  <r>
    <x v="110"/>
    <s v="P1024"/>
    <x v="109"/>
    <x v="3"/>
    <x v="4"/>
    <x v="2"/>
    <x v="2"/>
    <n v="0"/>
    <n v="600"/>
    <x v="0"/>
  </r>
  <r>
    <x v="111"/>
    <s v="P1234"/>
    <x v="110"/>
    <x v="8"/>
    <x v="2"/>
    <x v="2"/>
    <x v="1"/>
    <n v="0"/>
    <n v="600"/>
    <x v="1"/>
  </r>
  <r>
    <x v="112"/>
    <s v="P1037"/>
    <x v="111"/>
    <x v="3"/>
    <x v="3"/>
    <x v="1"/>
    <x v="0"/>
    <n v="31"/>
    <n v="600"/>
    <x v="0"/>
  </r>
  <r>
    <x v="113"/>
    <s v="P1032"/>
    <x v="112"/>
    <x v="6"/>
    <x v="2"/>
    <x v="3"/>
    <x v="0"/>
    <n v="29"/>
    <n v="400"/>
    <x v="0"/>
  </r>
  <r>
    <x v="114"/>
    <s v="P1121"/>
    <x v="113"/>
    <x v="3"/>
    <x v="3"/>
    <x v="0"/>
    <x v="2"/>
    <n v="0"/>
    <n v="600"/>
    <x v="0"/>
  </r>
  <r>
    <x v="115"/>
    <s v="P1167"/>
    <x v="114"/>
    <x v="4"/>
    <x v="1"/>
    <x v="3"/>
    <x v="2"/>
    <n v="0"/>
    <n v="500"/>
    <x v="1"/>
  </r>
  <r>
    <x v="116"/>
    <s v="P1061"/>
    <x v="115"/>
    <x v="7"/>
    <x v="4"/>
    <x v="1"/>
    <x v="0"/>
    <n v="26"/>
    <n v="800"/>
    <x v="0"/>
  </r>
  <r>
    <x v="117"/>
    <s v="P1227"/>
    <x v="116"/>
    <x v="5"/>
    <x v="4"/>
    <x v="3"/>
    <x v="1"/>
    <n v="0"/>
    <n v="700"/>
    <x v="1"/>
  </r>
  <r>
    <x v="118"/>
    <s v="P1114"/>
    <x v="117"/>
    <x v="5"/>
    <x v="0"/>
    <x v="1"/>
    <x v="0"/>
    <n v="26"/>
    <n v="800"/>
    <x v="0"/>
  </r>
  <r>
    <x v="119"/>
    <s v="P1049"/>
    <x v="118"/>
    <x v="2"/>
    <x v="0"/>
    <x v="0"/>
    <x v="0"/>
    <n v="11"/>
    <n v="1000"/>
    <x v="0"/>
  </r>
  <r>
    <x v="120"/>
    <s v="P1063"/>
    <x v="119"/>
    <x v="0"/>
    <x v="0"/>
    <x v="1"/>
    <x v="0"/>
    <n v="32"/>
    <n v="1000"/>
    <x v="1"/>
  </r>
  <r>
    <x v="121"/>
    <s v="P1202"/>
    <x v="120"/>
    <x v="0"/>
    <x v="1"/>
    <x v="0"/>
    <x v="0"/>
    <n v="39"/>
    <n v="1000"/>
    <x v="0"/>
  </r>
  <r>
    <x v="122"/>
    <s v="P1034"/>
    <x v="121"/>
    <x v="7"/>
    <x v="1"/>
    <x v="0"/>
    <x v="0"/>
    <n v="47"/>
    <n v="800"/>
    <x v="0"/>
  </r>
  <r>
    <x v="123"/>
    <s v="P1190"/>
    <x v="122"/>
    <x v="1"/>
    <x v="0"/>
    <x v="3"/>
    <x v="0"/>
    <n v="23"/>
    <n v="800"/>
    <x v="1"/>
  </r>
  <r>
    <x v="124"/>
    <s v="P1057"/>
    <x v="123"/>
    <x v="2"/>
    <x v="4"/>
    <x v="0"/>
    <x v="0"/>
    <n v="25"/>
    <n v="900"/>
    <x v="0"/>
  </r>
  <r>
    <x v="125"/>
    <s v="P1126"/>
    <x v="124"/>
    <x v="8"/>
    <x v="0"/>
    <x v="3"/>
    <x v="0"/>
    <n v="18"/>
    <n v="700"/>
    <x v="1"/>
  </r>
  <r>
    <x v="126"/>
    <s v="P1160"/>
    <x v="125"/>
    <x v="2"/>
    <x v="3"/>
    <x v="2"/>
    <x v="0"/>
    <n v="45"/>
    <n v="1000"/>
    <x v="0"/>
  </r>
  <r>
    <x v="127"/>
    <s v="P1219"/>
    <x v="126"/>
    <x v="6"/>
    <x v="4"/>
    <x v="1"/>
    <x v="0"/>
    <n v="31"/>
    <n v="500"/>
    <x v="0"/>
  </r>
  <r>
    <x v="128"/>
    <s v="P1187"/>
    <x v="127"/>
    <x v="8"/>
    <x v="4"/>
    <x v="0"/>
    <x v="0"/>
    <n v="18"/>
    <n v="800"/>
    <x v="0"/>
  </r>
  <r>
    <x v="129"/>
    <s v="P1018"/>
    <x v="128"/>
    <x v="5"/>
    <x v="0"/>
    <x v="0"/>
    <x v="0"/>
    <n v="31"/>
    <n v="800"/>
    <x v="1"/>
  </r>
  <r>
    <x v="130"/>
    <s v="P1151"/>
    <x v="129"/>
    <x v="2"/>
    <x v="4"/>
    <x v="2"/>
    <x v="1"/>
    <n v="0"/>
    <n v="1000"/>
    <x v="1"/>
  </r>
  <r>
    <x v="131"/>
    <s v="P1080"/>
    <x v="130"/>
    <x v="5"/>
    <x v="3"/>
    <x v="2"/>
    <x v="0"/>
    <n v="26"/>
    <n v="600"/>
    <x v="1"/>
  </r>
  <r>
    <x v="132"/>
    <s v="P1217"/>
    <x v="131"/>
    <x v="4"/>
    <x v="2"/>
    <x v="2"/>
    <x v="0"/>
    <n v="39"/>
    <n v="500"/>
    <x v="1"/>
  </r>
  <r>
    <x v="133"/>
    <s v="P1008"/>
    <x v="132"/>
    <x v="9"/>
    <x v="2"/>
    <x v="1"/>
    <x v="1"/>
    <n v="0"/>
    <n v="600"/>
    <x v="0"/>
  </r>
  <r>
    <x v="134"/>
    <s v="P1169"/>
    <x v="133"/>
    <x v="3"/>
    <x v="1"/>
    <x v="3"/>
    <x v="0"/>
    <n v="13"/>
    <n v="500"/>
    <x v="1"/>
  </r>
  <r>
    <x v="135"/>
    <s v="P1117"/>
    <x v="134"/>
    <x v="7"/>
    <x v="2"/>
    <x v="2"/>
    <x v="0"/>
    <n v="26"/>
    <n v="900"/>
    <x v="1"/>
  </r>
  <r>
    <x v="136"/>
    <s v="P1041"/>
    <x v="135"/>
    <x v="3"/>
    <x v="2"/>
    <x v="0"/>
    <x v="0"/>
    <n v="17"/>
    <n v="600"/>
    <x v="1"/>
  </r>
  <r>
    <x v="137"/>
    <s v="P1107"/>
    <x v="136"/>
    <x v="3"/>
    <x v="3"/>
    <x v="2"/>
    <x v="1"/>
    <n v="0"/>
    <n v="700"/>
    <x v="1"/>
  </r>
  <r>
    <x v="138"/>
    <s v="P1125"/>
    <x v="137"/>
    <x v="4"/>
    <x v="1"/>
    <x v="2"/>
    <x v="0"/>
    <n v="10"/>
    <n v="400"/>
    <x v="1"/>
  </r>
  <r>
    <x v="139"/>
    <s v="P1243"/>
    <x v="138"/>
    <x v="1"/>
    <x v="2"/>
    <x v="1"/>
    <x v="0"/>
    <n v="33"/>
    <n v="800"/>
    <x v="1"/>
  </r>
  <r>
    <x v="140"/>
    <s v="P1045"/>
    <x v="139"/>
    <x v="3"/>
    <x v="3"/>
    <x v="1"/>
    <x v="0"/>
    <n v="25"/>
    <n v="700"/>
    <x v="0"/>
  </r>
  <r>
    <x v="141"/>
    <s v="P1221"/>
    <x v="140"/>
    <x v="4"/>
    <x v="0"/>
    <x v="0"/>
    <x v="0"/>
    <n v="28"/>
    <n v="600"/>
    <x v="0"/>
  </r>
  <r>
    <x v="142"/>
    <s v="P1182"/>
    <x v="141"/>
    <x v="2"/>
    <x v="0"/>
    <x v="3"/>
    <x v="1"/>
    <n v="0"/>
    <n v="1100"/>
    <x v="0"/>
  </r>
  <r>
    <x v="143"/>
    <s v="P1213"/>
    <x v="142"/>
    <x v="2"/>
    <x v="4"/>
    <x v="2"/>
    <x v="1"/>
    <n v="0"/>
    <n v="1100"/>
    <x v="1"/>
  </r>
  <r>
    <x v="144"/>
    <s v="P1102"/>
    <x v="143"/>
    <x v="8"/>
    <x v="1"/>
    <x v="2"/>
    <x v="1"/>
    <n v="0"/>
    <n v="700"/>
    <x v="0"/>
  </r>
  <r>
    <x v="145"/>
    <s v="P1050"/>
    <x v="144"/>
    <x v="1"/>
    <x v="1"/>
    <x v="2"/>
    <x v="1"/>
    <n v="0"/>
    <n v="700"/>
    <x v="0"/>
  </r>
  <r>
    <x v="146"/>
    <s v="P1155"/>
    <x v="145"/>
    <x v="7"/>
    <x v="1"/>
    <x v="1"/>
    <x v="0"/>
    <n v="27"/>
    <n v="800"/>
    <x v="1"/>
  </r>
  <r>
    <x v="147"/>
    <s v="P1165"/>
    <x v="146"/>
    <x v="1"/>
    <x v="1"/>
    <x v="2"/>
    <x v="2"/>
    <n v="0"/>
    <n v="700"/>
    <x v="0"/>
  </r>
  <r>
    <x v="148"/>
    <s v="P1204"/>
    <x v="147"/>
    <x v="1"/>
    <x v="2"/>
    <x v="2"/>
    <x v="2"/>
    <n v="0"/>
    <n v="800"/>
    <x v="1"/>
  </r>
  <r>
    <x v="149"/>
    <s v="P1095"/>
    <x v="148"/>
    <x v="9"/>
    <x v="0"/>
    <x v="2"/>
    <x v="0"/>
    <n v="5"/>
    <n v="600"/>
    <x v="1"/>
  </r>
  <r>
    <x v="150"/>
    <s v="P1167"/>
    <x v="149"/>
    <x v="2"/>
    <x v="3"/>
    <x v="1"/>
    <x v="0"/>
    <n v="29"/>
    <n v="900"/>
    <x v="0"/>
  </r>
  <r>
    <x v="151"/>
    <s v="P1208"/>
    <x v="150"/>
    <x v="6"/>
    <x v="3"/>
    <x v="2"/>
    <x v="0"/>
    <n v="23"/>
    <n v="500"/>
    <x v="1"/>
  </r>
  <r>
    <x v="152"/>
    <s v="P1134"/>
    <x v="151"/>
    <x v="4"/>
    <x v="2"/>
    <x v="1"/>
    <x v="0"/>
    <n v="18"/>
    <n v="400"/>
    <x v="0"/>
  </r>
  <r>
    <x v="153"/>
    <s v="P1014"/>
    <x v="152"/>
    <x v="3"/>
    <x v="2"/>
    <x v="2"/>
    <x v="2"/>
    <n v="0"/>
    <n v="500"/>
    <x v="1"/>
  </r>
  <r>
    <x v="154"/>
    <s v="P1224"/>
    <x v="153"/>
    <x v="9"/>
    <x v="0"/>
    <x v="1"/>
    <x v="0"/>
    <n v="20"/>
    <n v="500"/>
    <x v="0"/>
  </r>
  <r>
    <x v="155"/>
    <s v="P1182"/>
    <x v="154"/>
    <x v="0"/>
    <x v="3"/>
    <x v="0"/>
    <x v="0"/>
    <n v="39"/>
    <n v="900"/>
    <x v="0"/>
  </r>
  <r>
    <x v="156"/>
    <s v="P1024"/>
    <x v="155"/>
    <x v="6"/>
    <x v="0"/>
    <x v="3"/>
    <x v="2"/>
    <n v="0"/>
    <n v="400"/>
    <x v="0"/>
  </r>
  <r>
    <x v="157"/>
    <s v="P1050"/>
    <x v="156"/>
    <x v="2"/>
    <x v="1"/>
    <x v="1"/>
    <x v="0"/>
    <n v="57"/>
    <n v="1100"/>
    <x v="1"/>
  </r>
  <r>
    <x v="158"/>
    <s v="P1225"/>
    <x v="157"/>
    <x v="7"/>
    <x v="1"/>
    <x v="1"/>
    <x v="2"/>
    <n v="0"/>
    <n v="800"/>
    <x v="0"/>
  </r>
  <r>
    <x v="159"/>
    <s v="P1012"/>
    <x v="158"/>
    <x v="7"/>
    <x v="1"/>
    <x v="3"/>
    <x v="2"/>
    <n v="0"/>
    <n v="900"/>
    <x v="0"/>
  </r>
  <r>
    <x v="160"/>
    <s v="P1062"/>
    <x v="159"/>
    <x v="1"/>
    <x v="1"/>
    <x v="2"/>
    <x v="0"/>
    <n v="32"/>
    <n v="700"/>
    <x v="0"/>
  </r>
  <r>
    <x v="161"/>
    <s v="P1200"/>
    <x v="160"/>
    <x v="1"/>
    <x v="1"/>
    <x v="3"/>
    <x v="0"/>
    <n v="33"/>
    <n v="800"/>
    <x v="0"/>
  </r>
  <r>
    <x v="162"/>
    <s v="P1224"/>
    <x v="161"/>
    <x v="7"/>
    <x v="3"/>
    <x v="2"/>
    <x v="0"/>
    <n v="29"/>
    <n v="900"/>
    <x v="1"/>
  </r>
  <r>
    <x v="163"/>
    <s v="P1232"/>
    <x v="162"/>
    <x v="4"/>
    <x v="0"/>
    <x v="1"/>
    <x v="0"/>
    <n v="5"/>
    <n v="600"/>
    <x v="0"/>
  </r>
  <r>
    <x v="164"/>
    <s v="P1102"/>
    <x v="163"/>
    <x v="0"/>
    <x v="4"/>
    <x v="2"/>
    <x v="0"/>
    <n v="34"/>
    <n v="1000"/>
    <x v="1"/>
  </r>
  <r>
    <x v="165"/>
    <s v="P1215"/>
    <x v="164"/>
    <x v="8"/>
    <x v="1"/>
    <x v="2"/>
    <x v="0"/>
    <n v="25"/>
    <n v="700"/>
    <x v="1"/>
  </r>
  <r>
    <x v="166"/>
    <s v="P1115"/>
    <x v="165"/>
    <x v="7"/>
    <x v="0"/>
    <x v="0"/>
    <x v="2"/>
    <n v="0"/>
    <n v="900"/>
    <x v="1"/>
  </r>
  <r>
    <x v="167"/>
    <s v="P1061"/>
    <x v="166"/>
    <x v="2"/>
    <x v="0"/>
    <x v="2"/>
    <x v="0"/>
    <n v="64"/>
    <n v="1000"/>
    <x v="1"/>
  </r>
  <r>
    <x v="168"/>
    <s v="P1215"/>
    <x v="167"/>
    <x v="0"/>
    <x v="3"/>
    <x v="3"/>
    <x v="0"/>
    <n v="32"/>
    <n v="1000"/>
    <x v="1"/>
  </r>
  <r>
    <x v="169"/>
    <s v="P1091"/>
    <x v="168"/>
    <x v="4"/>
    <x v="1"/>
    <x v="1"/>
    <x v="0"/>
    <n v="31"/>
    <n v="400"/>
    <x v="0"/>
  </r>
  <r>
    <x v="170"/>
    <s v="P1130"/>
    <x v="169"/>
    <x v="7"/>
    <x v="4"/>
    <x v="0"/>
    <x v="1"/>
    <n v="0"/>
    <n v="700"/>
    <x v="0"/>
  </r>
  <r>
    <x v="171"/>
    <s v="P1092"/>
    <x v="170"/>
    <x v="8"/>
    <x v="1"/>
    <x v="0"/>
    <x v="0"/>
    <n v="24"/>
    <n v="700"/>
    <x v="0"/>
  </r>
  <r>
    <x v="172"/>
    <s v="P1140"/>
    <x v="171"/>
    <x v="7"/>
    <x v="4"/>
    <x v="2"/>
    <x v="0"/>
    <n v="15"/>
    <n v="800"/>
    <x v="1"/>
  </r>
  <r>
    <x v="173"/>
    <s v="P1010"/>
    <x v="172"/>
    <x v="5"/>
    <x v="0"/>
    <x v="2"/>
    <x v="0"/>
    <n v="38"/>
    <n v="800"/>
    <x v="1"/>
  </r>
  <r>
    <x v="174"/>
    <s v="P1209"/>
    <x v="173"/>
    <x v="0"/>
    <x v="0"/>
    <x v="3"/>
    <x v="1"/>
    <n v="0"/>
    <n v="1100"/>
    <x v="0"/>
  </r>
  <r>
    <x v="175"/>
    <s v="P1070"/>
    <x v="174"/>
    <x v="0"/>
    <x v="4"/>
    <x v="0"/>
    <x v="2"/>
    <n v="0"/>
    <n v="1000"/>
    <x v="0"/>
  </r>
  <r>
    <x v="176"/>
    <s v="P1178"/>
    <x v="175"/>
    <x v="5"/>
    <x v="3"/>
    <x v="3"/>
    <x v="0"/>
    <n v="34"/>
    <n v="800"/>
    <x v="0"/>
  </r>
  <r>
    <x v="177"/>
    <s v="P1211"/>
    <x v="176"/>
    <x v="6"/>
    <x v="2"/>
    <x v="1"/>
    <x v="0"/>
    <n v="37"/>
    <n v="400"/>
    <x v="0"/>
  </r>
  <r>
    <x v="178"/>
    <s v="P1155"/>
    <x v="177"/>
    <x v="9"/>
    <x v="4"/>
    <x v="3"/>
    <x v="0"/>
    <n v="11"/>
    <n v="700"/>
    <x v="1"/>
  </r>
  <r>
    <x v="179"/>
    <s v="P1071"/>
    <x v="178"/>
    <x v="5"/>
    <x v="4"/>
    <x v="0"/>
    <x v="1"/>
    <n v="0"/>
    <n v="800"/>
    <x v="1"/>
  </r>
  <r>
    <x v="180"/>
    <s v="P1174"/>
    <x v="179"/>
    <x v="5"/>
    <x v="1"/>
    <x v="3"/>
    <x v="0"/>
    <n v="41"/>
    <n v="600"/>
    <x v="1"/>
  </r>
  <r>
    <x v="181"/>
    <s v="P1009"/>
    <x v="180"/>
    <x v="7"/>
    <x v="2"/>
    <x v="1"/>
    <x v="0"/>
    <n v="13"/>
    <n v="700"/>
    <x v="0"/>
  </r>
  <r>
    <x v="182"/>
    <s v="P1102"/>
    <x v="181"/>
    <x v="3"/>
    <x v="1"/>
    <x v="2"/>
    <x v="1"/>
    <n v="0"/>
    <n v="600"/>
    <x v="0"/>
  </r>
  <r>
    <x v="183"/>
    <s v="P1234"/>
    <x v="182"/>
    <x v="7"/>
    <x v="2"/>
    <x v="0"/>
    <x v="1"/>
    <n v="0"/>
    <n v="900"/>
    <x v="0"/>
  </r>
  <r>
    <x v="184"/>
    <s v="P1052"/>
    <x v="183"/>
    <x v="3"/>
    <x v="0"/>
    <x v="0"/>
    <x v="2"/>
    <n v="0"/>
    <n v="700"/>
    <x v="1"/>
  </r>
  <r>
    <x v="185"/>
    <s v="P1171"/>
    <x v="184"/>
    <x v="2"/>
    <x v="3"/>
    <x v="2"/>
    <x v="2"/>
    <n v="0"/>
    <n v="1000"/>
    <x v="1"/>
  </r>
  <r>
    <x v="186"/>
    <s v="P1058"/>
    <x v="185"/>
    <x v="6"/>
    <x v="3"/>
    <x v="0"/>
    <x v="0"/>
    <n v="35"/>
    <n v="400"/>
    <x v="1"/>
  </r>
  <r>
    <x v="187"/>
    <s v="P1135"/>
    <x v="186"/>
    <x v="4"/>
    <x v="3"/>
    <x v="3"/>
    <x v="2"/>
    <n v="0"/>
    <n v="600"/>
    <x v="0"/>
  </r>
  <r>
    <x v="188"/>
    <s v="P1175"/>
    <x v="187"/>
    <x v="4"/>
    <x v="3"/>
    <x v="2"/>
    <x v="0"/>
    <n v="54"/>
    <n v="600"/>
    <x v="1"/>
  </r>
  <r>
    <x v="189"/>
    <s v="P1040"/>
    <x v="188"/>
    <x v="4"/>
    <x v="1"/>
    <x v="2"/>
    <x v="0"/>
    <n v="16"/>
    <n v="400"/>
    <x v="1"/>
  </r>
  <r>
    <x v="190"/>
    <s v="P1051"/>
    <x v="189"/>
    <x v="1"/>
    <x v="2"/>
    <x v="2"/>
    <x v="0"/>
    <n v="23"/>
    <n v="800"/>
    <x v="1"/>
  </r>
  <r>
    <x v="191"/>
    <s v="P1185"/>
    <x v="190"/>
    <x v="9"/>
    <x v="0"/>
    <x v="2"/>
    <x v="0"/>
    <n v="23"/>
    <n v="500"/>
    <x v="1"/>
  </r>
  <r>
    <x v="192"/>
    <s v="P1197"/>
    <x v="191"/>
    <x v="0"/>
    <x v="4"/>
    <x v="3"/>
    <x v="2"/>
    <n v="0"/>
    <n v="1000"/>
    <x v="1"/>
  </r>
  <r>
    <x v="193"/>
    <s v="P1077"/>
    <x v="192"/>
    <x v="5"/>
    <x v="0"/>
    <x v="3"/>
    <x v="0"/>
    <n v="18"/>
    <n v="800"/>
    <x v="1"/>
  </r>
  <r>
    <x v="194"/>
    <s v="P1088"/>
    <x v="193"/>
    <x v="0"/>
    <x v="2"/>
    <x v="1"/>
    <x v="0"/>
    <n v="16"/>
    <n v="1000"/>
    <x v="0"/>
  </r>
  <r>
    <x v="195"/>
    <s v="P1028"/>
    <x v="194"/>
    <x v="3"/>
    <x v="4"/>
    <x v="2"/>
    <x v="1"/>
    <n v="0"/>
    <n v="500"/>
    <x v="1"/>
  </r>
  <r>
    <x v="196"/>
    <s v="P1013"/>
    <x v="195"/>
    <x v="8"/>
    <x v="3"/>
    <x v="2"/>
    <x v="0"/>
    <n v="25"/>
    <n v="700"/>
    <x v="0"/>
  </r>
  <r>
    <x v="197"/>
    <s v="P1049"/>
    <x v="196"/>
    <x v="6"/>
    <x v="3"/>
    <x v="1"/>
    <x v="1"/>
    <n v="0"/>
    <n v="500"/>
    <x v="0"/>
  </r>
  <r>
    <x v="198"/>
    <s v="P1242"/>
    <x v="197"/>
    <x v="6"/>
    <x v="1"/>
    <x v="3"/>
    <x v="0"/>
    <n v="15"/>
    <n v="500"/>
    <x v="0"/>
  </r>
  <r>
    <x v="199"/>
    <s v="P1127"/>
    <x v="198"/>
    <x v="7"/>
    <x v="3"/>
    <x v="3"/>
    <x v="0"/>
    <n v="35"/>
    <n v="800"/>
    <x v="0"/>
  </r>
  <r>
    <x v="200"/>
    <s v="P1196"/>
    <x v="199"/>
    <x v="4"/>
    <x v="0"/>
    <x v="3"/>
    <x v="0"/>
    <n v="16"/>
    <n v="500"/>
    <x v="0"/>
  </r>
  <r>
    <x v="201"/>
    <s v="P1074"/>
    <x v="200"/>
    <x v="2"/>
    <x v="3"/>
    <x v="0"/>
    <x v="0"/>
    <n v="53"/>
    <n v="900"/>
    <x v="0"/>
  </r>
  <r>
    <x v="202"/>
    <s v="P1101"/>
    <x v="201"/>
    <x v="6"/>
    <x v="3"/>
    <x v="2"/>
    <x v="0"/>
    <n v="18"/>
    <n v="500"/>
    <x v="0"/>
  </r>
  <r>
    <x v="203"/>
    <s v="P1012"/>
    <x v="202"/>
    <x v="6"/>
    <x v="2"/>
    <x v="0"/>
    <x v="1"/>
    <n v="0"/>
    <n v="500"/>
    <x v="2"/>
  </r>
  <r>
    <x v="204"/>
    <s v="P1036"/>
    <x v="203"/>
    <x v="3"/>
    <x v="1"/>
    <x v="2"/>
    <x v="1"/>
    <n v="0"/>
    <n v="500"/>
    <x v="0"/>
  </r>
  <r>
    <x v="205"/>
    <s v="P1137"/>
    <x v="204"/>
    <x v="1"/>
    <x v="4"/>
    <x v="3"/>
    <x v="1"/>
    <n v="0"/>
    <n v="700"/>
    <x v="0"/>
  </r>
  <r>
    <x v="206"/>
    <s v="P1079"/>
    <x v="205"/>
    <x v="8"/>
    <x v="2"/>
    <x v="0"/>
    <x v="0"/>
    <n v="21"/>
    <n v="600"/>
    <x v="0"/>
  </r>
  <r>
    <x v="207"/>
    <s v="P1162"/>
    <x v="206"/>
    <x v="9"/>
    <x v="1"/>
    <x v="3"/>
    <x v="0"/>
    <n v="31"/>
    <n v="500"/>
    <x v="1"/>
  </r>
  <r>
    <x v="208"/>
    <s v="P1081"/>
    <x v="207"/>
    <x v="7"/>
    <x v="4"/>
    <x v="3"/>
    <x v="0"/>
    <n v="15"/>
    <n v="900"/>
    <x v="1"/>
  </r>
  <r>
    <x v="209"/>
    <s v="P1181"/>
    <x v="208"/>
    <x v="8"/>
    <x v="3"/>
    <x v="1"/>
    <x v="2"/>
    <n v="0"/>
    <n v="700"/>
    <x v="1"/>
  </r>
  <r>
    <x v="210"/>
    <s v="P1118"/>
    <x v="209"/>
    <x v="6"/>
    <x v="2"/>
    <x v="2"/>
    <x v="0"/>
    <n v="30"/>
    <n v="500"/>
    <x v="0"/>
  </r>
  <r>
    <x v="211"/>
    <s v="P1058"/>
    <x v="210"/>
    <x v="3"/>
    <x v="1"/>
    <x v="2"/>
    <x v="1"/>
    <n v="0"/>
    <n v="600"/>
    <x v="0"/>
  </r>
  <r>
    <x v="212"/>
    <s v="P1074"/>
    <x v="211"/>
    <x v="1"/>
    <x v="4"/>
    <x v="0"/>
    <x v="1"/>
    <n v="0"/>
    <n v="800"/>
    <x v="0"/>
  </r>
  <r>
    <x v="213"/>
    <s v="P1089"/>
    <x v="212"/>
    <x v="5"/>
    <x v="4"/>
    <x v="3"/>
    <x v="0"/>
    <n v="40"/>
    <n v="700"/>
    <x v="0"/>
  </r>
  <r>
    <x v="214"/>
    <s v="P1036"/>
    <x v="213"/>
    <x v="8"/>
    <x v="1"/>
    <x v="0"/>
    <x v="1"/>
    <n v="0"/>
    <n v="700"/>
    <x v="1"/>
  </r>
  <r>
    <x v="215"/>
    <s v="P1014"/>
    <x v="214"/>
    <x v="7"/>
    <x v="2"/>
    <x v="0"/>
    <x v="2"/>
    <n v="0"/>
    <n v="800"/>
    <x v="0"/>
  </r>
  <r>
    <x v="216"/>
    <s v="P1105"/>
    <x v="215"/>
    <x v="3"/>
    <x v="1"/>
    <x v="3"/>
    <x v="1"/>
    <n v="0"/>
    <n v="600"/>
    <x v="0"/>
  </r>
  <r>
    <x v="217"/>
    <s v="P1060"/>
    <x v="216"/>
    <x v="1"/>
    <x v="4"/>
    <x v="0"/>
    <x v="0"/>
    <n v="10"/>
    <n v="700"/>
    <x v="1"/>
  </r>
  <r>
    <x v="218"/>
    <s v="P1225"/>
    <x v="217"/>
    <x v="8"/>
    <x v="2"/>
    <x v="0"/>
    <x v="0"/>
    <n v="27"/>
    <n v="700"/>
    <x v="1"/>
  </r>
  <r>
    <x v="219"/>
    <s v="P1135"/>
    <x v="218"/>
    <x v="9"/>
    <x v="3"/>
    <x v="3"/>
    <x v="2"/>
    <n v="0"/>
    <n v="500"/>
    <x v="1"/>
  </r>
  <r>
    <x v="220"/>
    <s v="P1188"/>
    <x v="219"/>
    <x v="6"/>
    <x v="1"/>
    <x v="3"/>
    <x v="0"/>
    <n v="31"/>
    <n v="500"/>
    <x v="0"/>
  </r>
  <r>
    <x v="221"/>
    <s v="P1220"/>
    <x v="220"/>
    <x v="7"/>
    <x v="3"/>
    <x v="3"/>
    <x v="0"/>
    <n v="39"/>
    <n v="700"/>
    <x v="0"/>
  </r>
  <r>
    <x v="222"/>
    <s v="P1123"/>
    <x v="221"/>
    <x v="6"/>
    <x v="0"/>
    <x v="2"/>
    <x v="0"/>
    <n v="13"/>
    <n v="500"/>
    <x v="1"/>
  </r>
  <r>
    <x v="223"/>
    <s v="P1078"/>
    <x v="222"/>
    <x v="2"/>
    <x v="2"/>
    <x v="0"/>
    <x v="0"/>
    <n v="19"/>
    <n v="1000"/>
    <x v="0"/>
  </r>
  <r>
    <x v="224"/>
    <s v="P1104"/>
    <x v="223"/>
    <x v="9"/>
    <x v="2"/>
    <x v="2"/>
    <x v="0"/>
    <n v="28"/>
    <n v="600"/>
    <x v="1"/>
  </r>
  <r>
    <x v="225"/>
    <s v="P1040"/>
    <x v="224"/>
    <x v="3"/>
    <x v="4"/>
    <x v="3"/>
    <x v="0"/>
    <n v="25"/>
    <n v="700"/>
    <x v="0"/>
  </r>
  <r>
    <x v="226"/>
    <s v="P1224"/>
    <x v="225"/>
    <x v="5"/>
    <x v="3"/>
    <x v="0"/>
    <x v="2"/>
    <n v="0"/>
    <n v="600"/>
    <x v="0"/>
  </r>
  <r>
    <x v="227"/>
    <s v="P1232"/>
    <x v="226"/>
    <x v="6"/>
    <x v="1"/>
    <x v="1"/>
    <x v="0"/>
    <n v="31"/>
    <n v="400"/>
    <x v="1"/>
  </r>
  <r>
    <x v="228"/>
    <s v="P1184"/>
    <x v="227"/>
    <x v="1"/>
    <x v="3"/>
    <x v="3"/>
    <x v="2"/>
    <n v="0"/>
    <n v="800"/>
    <x v="1"/>
  </r>
  <r>
    <x v="229"/>
    <s v="P1117"/>
    <x v="228"/>
    <x v="6"/>
    <x v="2"/>
    <x v="0"/>
    <x v="1"/>
    <n v="0"/>
    <n v="600"/>
    <x v="0"/>
  </r>
  <r>
    <x v="230"/>
    <s v="P1149"/>
    <x v="229"/>
    <x v="9"/>
    <x v="4"/>
    <x v="0"/>
    <x v="2"/>
    <n v="0"/>
    <n v="600"/>
    <x v="1"/>
  </r>
  <r>
    <x v="231"/>
    <s v="P1009"/>
    <x v="230"/>
    <x v="5"/>
    <x v="1"/>
    <x v="2"/>
    <x v="0"/>
    <n v="29"/>
    <n v="800"/>
    <x v="0"/>
  </r>
  <r>
    <x v="232"/>
    <s v="P1223"/>
    <x v="231"/>
    <x v="7"/>
    <x v="0"/>
    <x v="3"/>
    <x v="0"/>
    <n v="21"/>
    <n v="900"/>
    <x v="0"/>
  </r>
  <r>
    <x v="233"/>
    <s v="P1101"/>
    <x v="232"/>
    <x v="0"/>
    <x v="0"/>
    <x v="1"/>
    <x v="0"/>
    <n v="37"/>
    <n v="900"/>
    <x v="1"/>
  </r>
  <r>
    <x v="234"/>
    <s v="P1211"/>
    <x v="233"/>
    <x v="0"/>
    <x v="4"/>
    <x v="1"/>
    <x v="1"/>
    <n v="0"/>
    <n v="1100"/>
    <x v="1"/>
  </r>
  <r>
    <x v="235"/>
    <s v="P1009"/>
    <x v="234"/>
    <x v="5"/>
    <x v="1"/>
    <x v="3"/>
    <x v="2"/>
    <n v="0"/>
    <n v="700"/>
    <x v="1"/>
  </r>
  <r>
    <x v="236"/>
    <s v="P1173"/>
    <x v="235"/>
    <x v="7"/>
    <x v="0"/>
    <x v="0"/>
    <x v="0"/>
    <n v="33"/>
    <n v="700"/>
    <x v="1"/>
  </r>
  <r>
    <x v="237"/>
    <s v="P1129"/>
    <x v="236"/>
    <x v="2"/>
    <x v="3"/>
    <x v="2"/>
    <x v="0"/>
    <n v="26"/>
    <n v="1000"/>
    <x v="1"/>
  </r>
  <r>
    <x v="238"/>
    <s v="P1225"/>
    <x v="237"/>
    <x v="6"/>
    <x v="4"/>
    <x v="1"/>
    <x v="0"/>
    <n v="50"/>
    <n v="500"/>
    <x v="1"/>
  </r>
  <r>
    <x v="239"/>
    <s v="P1143"/>
    <x v="238"/>
    <x v="5"/>
    <x v="2"/>
    <x v="3"/>
    <x v="2"/>
    <n v="0"/>
    <n v="800"/>
    <x v="1"/>
  </r>
  <r>
    <x v="240"/>
    <s v="P1077"/>
    <x v="239"/>
    <x v="3"/>
    <x v="3"/>
    <x v="3"/>
    <x v="0"/>
    <n v="27"/>
    <n v="600"/>
    <x v="1"/>
  </r>
  <r>
    <x v="241"/>
    <s v="P1207"/>
    <x v="240"/>
    <x v="6"/>
    <x v="3"/>
    <x v="3"/>
    <x v="2"/>
    <n v="0"/>
    <n v="500"/>
    <x v="1"/>
  </r>
  <r>
    <x v="242"/>
    <s v="P1066"/>
    <x v="241"/>
    <x v="6"/>
    <x v="0"/>
    <x v="1"/>
    <x v="0"/>
    <n v="13"/>
    <n v="500"/>
    <x v="0"/>
  </r>
  <r>
    <x v="243"/>
    <s v="P1097"/>
    <x v="242"/>
    <x v="2"/>
    <x v="1"/>
    <x v="0"/>
    <x v="0"/>
    <n v="240"/>
    <n v="1000"/>
    <x v="1"/>
  </r>
  <r>
    <x v="244"/>
    <s v="P1055"/>
    <x v="243"/>
    <x v="7"/>
    <x v="4"/>
    <x v="1"/>
    <x v="0"/>
    <n v="18"/>
    <n v="800"/>
    <x v="1"/>
  </r>
  <r>
    <x v="245"/>
    <s v="P1142"/>
    <x v="244"/>
    <x v="8"/>
    <x v="4"/>
    <x v="2"/>
    <x v="0"/>
    <n v="34"/>
    <n v="700"/>
    <x v="0"/>
  </r>
  <r>
    <x v="246"/>
    <s v="P1132"/>
    <x v="245"/>
    <x v="5"/>
    <x v="0"/>
    <x v="3"/>
    <x v="0"/>
    <n v="38"/>
    <n v="700"/>
    <x v="0"/>
  </r>
  <r>
    <x v="247"/>
    <s v="P1012"/>
    <x v="246"/>
    <x v="2"/>
    <x v="0"/>
    <x v="1"/>
    <x v="0"/>
    <n v="25"/>
    <n v="1100"/>
    <x v="1"/>
  </r>
  <r>
    <x v="248"/>
    <s v="P1051"/>
    <x v="247"/>
    <x v="2"/>
    <x v="4"/>
    <x v="2"/>
    <x v="0"/>
    <n v="46"/>
    <n v="1000"/>
    <x v="1"/>
  </r>
  <r>
    <x v="249"/>
    <s v="P1248"/>
    <x v="248"/>
    <x v="8"/>
    <x v="1"/>
    <x v="3"/>
    <x v="0"/>
    <n v="29"/>
    <n v="800"/>
    <x v="0"/>
  </r>
  <r>
    <x v="250"/>
    <s v="P1165"/>
    <x v="249"/>
    <x v="1"/>
    <x v="0"/>
    <x v="0"/>
    <x v="0"/>
    <n v="39"/>
    <n v="700"/>
    <x v="1"/>
  </r>
  <r>
    <x v="251"/>
    <s v="P1018"/>
    <x v="250"/>
    <x v="0"/>
    <x v="1"/>
    <x v="1"/>
    <x v="2"/>
    <n v="0"/>
    <n v="1000"/>
    <x v="1"/>
  </r>
  <r>
    <x v="252"/>
    <s v="P1005"/>
    <x v="251"/>
    <x v="1"/>
    <x v="0"/>
    <x v="0"/>
    <x v="2"/>
    <n v="0"/>
    <n v="900"/>
    <x v="0"/>
  </r>
  <r>
    <x v="253"/>
    <s v="P1209"/>
    <x v="252"/>
    <x v="0"/>
    <x v="0"/>
    <x v="3"/>
    <x v="0"/>
    <n v="57"/>
    <n v="900"/>
    <x v="1"/>
  </r>
  <r>
    <x v="254"/>
    <s v="P1135"/>
    <x v="253"/>
    <x v="0"/>
    <x v="2"/>
    <x v="2"/>
    <x v="0"/>
    <n v="32"/>
    <n v="900"/>
    <x v="0"/>
  </r>
  <r>
    <x v="255"/>
    <s v="P1063"/>
    <x v="254"/>
    <x v="3"/>
    <x v="0"/>
    <x v="1"/>
    <x v="0"/>
    <n v="12"/>
    <n v="500"/>
    <x v="0"/>
  </r>
  <r>
    <x v="256"/>
    <s v="P1122"/>
    <x v="255"/>
    <x v="0"/>
    <x v="1"/>
    <x v="0"/>
    <x v="0"/>
    <n v="24"/>
    <n v="900"/>
    <x v="1"/>
  </r>
  <r>
    <x v="257"/>
    <s v="P1230"/>
    <x v="256"/>
    <x v="7"/>
    <x v="1"/>
    <x v="0"/>
    <x v="1"/>
    <n v="0"/>
    <n v="800"/>
    <x v="1"/>
  </r>
  <r>
    <x v="258"/>
    <s v="P1231"/>
    <x v="257"/>
    <x v="1"/>
    <x v="2"/>
    <x v="0"/>
    <x v="2"/>
    <n v="0"/>
    <n v="800"/>
    <x v="1"/>
  </r>
  <r>
    <x v="259"/>
    <s v="P1238"/>
    <x v="258"/>
    <x v="9"/>
    <x v="1"/>
    <x v="0"/>
    <x v="2"/>
    <n v="0"/>
    <n v="700"/>
    <x v="0"/>
  </r>
  <r>
    <x v="260"/>
    <s v="P1203"/>
    <x v="259"/>
    <x v="7"/>
    <x v="0"/>
    <x v="0"/>
    <x v="0"/>
    <n v="20"/>
    <n v="800"/>
    <x v="0"/>
  </r>
  <r>
    <x v="261"/>
    <s v="P1197"/>
    <x v="260"/>
    <x v="0"/>
    <x v="0"/>
    <x v="3"/>
    <x v="0"/>
    <n v="34"/>
    <n v="900"/>
    <x v="0"/>
  </r>
  <r>
    <x v="262"/>
    <s v="P1241"/>
    <x v="261"/>
    <x v="2"/>
    <x v="1"/>
    <x v="3"/>
    <x v="0"/>
    <n v="39"/>
    <n v="900"/>
    <x v="0"/>
  </r>
  <r>
    <x v="263"/>
    <s v="P1022"/>
    <x v="262"/>
    <x v="1"/>
    <x v="4"/>
    <x v="2"/>
    <x v="0"/>
    <n v="33"/>
    <n v="800"/>
    <x v="1"/>
  </r>
  <r>
    <x v="264"/>
    <s v="P1002"/>
    <x v="263"/>
    <x v="8"/>
    <x v="2"/>
    <x v="2"/>
    <x v="0"/>
    <n v="34"/>
    <n v="700"/>
    <x v="0"/>
  </r>
  <r>
    <x v="265"/>
    <s v="P1115"/>
    <x v="264"/>
    <x v="3"/>
    <x v="0"/>
    <x v="3"/>
    <x v="0"/>
    <n v="22"/>
    <n v="700"/>
    <x v="1"/>
  </r>
  <r>
    <x v="266"/>
    <s v="P1201"/>
    <x v="265"/>
    <x v="0"/>
    <x v="0"/>
    <x v="2"/>
    <x v="1"/>
    <n v="0"/>
    <n v="900"/>
    <x v="0"/>
  </r>
  <r>
    <x v="267"/>
    <s v="P1232"/>
    <x v="266"/>
    <x v="2"/>
    <x v="4"/>
    <x v="1"/>
    <x v="2"/>
    <n v="0"/>
    <n v="900"/>
    <x v="1"/>
  </r>
  <r>
    <x v="268"/>
    <s v="P1038"/>
    <x v="267"/>
    <x v="8"/>
    <x v="4"/>
    <x v="0"/>
    <x v="0"/>
    <n v="42"/>
    <n v="800"/>
    <x v="1"/>
  </r>
  <r>
    <x v="269"/>
    <s v="P1065"/>
    <x v="268"/>
    <x v="5"/>
    <x v="3"/>
    <x v="1"/>
    <x v="0"/>
    <n v="21"/>
    <n v="700"/>
    <x v="0"/>
  </r>
  <r>
    <x v="270"/>
    <s v="P1243"/>
    <x v="269"/>
    <x v="4"/>
    <x v="3"/>
    <x v="3"/>
    <x v="0"/>
    <n v="60"/>
    <n v="500"/>
    <x v="0"/>
  </r>
  <r>
    <x v="271"/>
    <s v="P1035"/>
    <x v="270"/>
    <x v="6"/>
    <x v="3"/>
    <x v="2"/>
    <x v="0"/>
    <n v="35"/>
    <n v="400"/>
    <x v="0"/>
  </r>
  <r>
    <x v="272"/>
    <s v="P1075"/>
    <x v="271"/>
    <x v="4"/>
    <x v="2"/>
    <x v="3"/>
    <x v="0"/>
    <n v="17"/>
    <n v="500"/>
    <x v="1"/>
  </r>
  <r>
    <x v="273"/>
    <s v="P1052"/>
    <x v="272"/>
    <x v="3"/>
    <x v="4"/>
    <x v="1"/>
    <x v="0"/>
    <n v="9"/>
    <n v="500"/>
    <x v="1"/>
  </r>
  <r>
    <x v="274"/>
    <s v="P1036"/>
    <x v="273"/>
    <x v="8"/>
    <x v="2"/>
    <x v="2"/>
    <x v="0"/>
    <n v="30"/>
    <n v="800"/>
    <x v="1"/>
  </r>
  <r>
    <x v="275"/>
    <s v="P1123"/>
    <x v="274"/>
    <x v="9"/>
    <x v="3"/>
    <x v="3"/>
    <x v="0"/>
    <n v="19"/>
    <n v="500"/>
    <x v="0"/>
  </r>
  <r>
    <x v="276"/>
    <s v="P1169"/>
    <x v="275"/>
    <x v="4"/>
    <x v="3"/>
    <x v="2"/>
    <x v="0"/>
    <n v="36"/>
    <n v="500"/>
    <x v="1"/>
  </r>
  <r>
    <x v="277"/>
    <s v="P1003"/>
    <x v="276"/>
    <x v="4"/>
    <x v="1"/>
    <x v="0"/>
    <x v="0"/>
    <n v="33"/>
    <n v="500"/>
    <x v="0"/>
  </r>
  <r>
    <x v="278"/>
    <s v="P1177"/>
    <x v="277"/>
    <x v="7"/>
    <x v="0"/>
    <x v="1"/>
    <x v="0"/>
    <n v="29"/>
    <n v="700"/>
    <x v="0"/>
  </r>
  <r>
    <x v="279"/>
    <s v="P1213"/>
    <x v="278"/>
    <x v="2"/>
    <x v="2"/>
    <x v="1"/>
    <x v="0"/>
    <n v="24"/>
    <n v="1000"/>
    <x v="0"/>
  </r>
  <r>
    <x v="280"/>
    <s v="P1025"/>
    <x v="279"/>
    <x v="3"/>
    <x v="2"/>
    <x v="3"/>
    <x v="0"/>
    <n v="5"/>
    <n v="700"/>
    <x v="0"/>
  </r>
  <r>
    <x v="281"/>
    <s v="P1166"/>
    <x v="280"/>
    <x v="9"/>
    <x v="1"/>
    <x v="0"/>
    <x v="0"/>
    <n v="16"/>
    <n v="600"/>
    <x v="1"/>
  </r>
  <r>
    <x v="282"/>
    <s v="P1246"/>
    <x v="281"/>
    <x v="7"/>
    <x v="4"/>
    <x v="3"/>
    <x v="1"/>
    <n v="0"/>
    <n v="900"/>
    <x v="1"/>
  </r>
  <r>
    <x v="283"/>
    <s v="P1227"/>
    <x v="282"/>
    <x v="8"/>
    <x v="3"/>
    <x v="1"/>
    <x v="0"/>
    <n v="35"/>
    <n v="600"/>
    <x v="0"/>
  </r>
  <r>
    <x v="284"/>
    <s v="P1193"/>
    <x v="283"/>
    <x v="6"/>
    <x v="3"/>
    <x v="0"/>
    <x v="0"/>
    <n v="30"/>
    <n v="500"/>
    <x v="1"/>
  </r>
  <r>
    <x v="285"/>
    <s v="P1068"/>
    <x v="284"/>
    <x v="4"/>
    <x v="3"/>
    <x v="3"/>
    <x v="0"/>
    <n v="13"/>
    <n v="500"/>
    <x v="0"/>
  </r>
  <r>
    <x v="286"/>
    <s v="P1217"/>
    <x v="285"/>
    <x v="6"/>
    <x v="2"/>
    <x v="3"/>
    <x v="0"/>
    <n v="30"/>
    <n v="500"/>
    <x v="1"/>
  </r>
  <r>
    <x v="287"/>
    <s v="P1079"/>
    <x v="286"/>
    <x v="9"/>
    <x v="2"/>
    <x v="0"/>
    <x v="0"/>
    <n v="26"/>
    <n v="600"/>
    <x v="1"/>
  </r>
  <r>
    <x v="288"/>
    <s v="P1148"/>
    <x v="287"/>
    <x v="9"/>
    <x v="1"/>
    <x v="3"/>
    <x v="1"/>
    <n v="0"/>
    <n v="600"/>
    <x v="0"/>
  </r>
  <r>
    <x v="289"/>
    <s v="P1126"/>
    <x v="288"/>
    <x v="1"/>
    <x v="1"/>
    <x v="2"/>
    <x v="1"/>
    <n v="0"/>
    <n v="800"/>
    <x v="1"/>
  </r>
  <r>
    <x v="290"/>
    <s v="P1125"/>
    <x v="289"/>
    <x v="1"/>
    <x v="4"/>
    <x v="1"/>
    <x v="0"/>
    <n v="19"/>
    <n v="800"/>
    <x v="1"/>
  </r>
  <r>
    <x v="291"/>
    <s v="P1126"/>
    <x v="290"/>
    <x v="5"/>
    <x v="3"/>
    <x v="1"/>
    <x v="2"/>
    <n v="0"/>
    <n v="800"/>
    <x v="1"/>
  </r>
  <r>
    <x v="292"/>
    <s v="P1138"/>
    <x v="291"/>
    <x v="4"/>
    <x v="4"/>
    <x v="2"/>
    <x v="0"/>
    <n v="29"/>
    <n v="500"/>
    <x v="1"/>
  </r>
  <r>
    <x v="293"/>
    <s v="P1069"/>
    <x v="292"/>
    <x v="5"/>
    <x v="4"/>
    <x v="2"/>
    <x v="1"/>
    <n v="0"/>
    <n v="700"/>
    <x v="1"/>
  </r>
  <r>
    <x v="294"/>
    <s v="P1116"/>
    <x v="293"/>
    <x v="8"/>
    <x v="0"/>
    <x v="2"/>
    <x v="0"/>
    <n v="25"/>
    <n v="700"/>
    <x v="0"/>
  </r>
  <r>
    <x v="295"/>
    <s v="P1177"/>
    <x v="294"/>
    <x v="2"/>
    <x v="1"/>
    <x v="2"/>
    <x v="2"/>
    <n v="0"/>
    <n v="900"/>
    <x v="0"/>
  </r>
  <r>
    <x v="296"/>
    <s v="P1137"/>
    <x v="295"/>
    <x v="7"/>
    <x v="2"/>
    <x v="2"/>
    <x v="1"/>
    <n v="0"/>
    <n v="800"/>
    <x v="1"/>
  </r>
  <r>
    <x v="297"/>
    <s v="P1035"/>
    <x v="296"/>
    <x v="3"/>
    <x v="2"/>
    <x v="3"/>
    <x v="1"/>
    <n v="0"/>
    <n v="600"/>
    <x v="1"/>
  </r>
  <r>
    <x v="298"/>
    <s v="P1213"/>
    <x v="297"/>
    <x v="9"/>
    <x v="4"/>
    <x v="1"/>
    <x v="0"/>
    <n v="8"/>
    <n v="600"/>
    <x v="0"/>
  </r>
  <r>
    <x v="299"/>
    <s v="P1020"/>
    <x v="298"/>
    <x v="8"/>
    <x v="3"/>
    <x v="0"/>
    <x v="0"/>
    <n v="29"/>
    <n v="800"/>
    <x v="0"/>
  </r>
  <r>
    <x v="300"/>
    <s v="P1149"/>
    <x v="299"/>
    <x v="6"/>
    <x v="4"/>
    <x v="0"/>
    <x v="0"/>
    <n v="34"/>
    <n v="500"/>
    <x v="1"/>
  </r>
  <r>
    <x v="301"/>
    <s v="P1212"/>
    <x v="300"/>
    <x v="5"/>
    <x v="2"/>
    <x v="1"/>
    <x v="0"/>
    <n v="37"/>
    <n v="800"/>
    <x v="0"/>
  </r>
  <r>
    <x v="302"/>
    <s v="P1202"/>
    <x v="301"/>
    <x v="3"/>
    <x v="0"/>
    <x v="2"/>
    <x v="1"/>
    <n v="0"/>
    <n v="700"/>
    <x v="1"/>
  </r>
  <r>
    <x v="303"/>
    <s v="P1113"/>
    <x v="302"/>
    <x v="0"/>
    <x v="4"/>
    <x v="3"/>
    <x v="0"/>
    <n v="47"/>
    <n v="1000"/>
    <x v="1"/>
  </r>
  <r>
    <x v="304"/>
    <s v="P1024"/>
    <x v="303"/>
    <x v="8"/>
    <x v="0"/>
    <x v="2"/>
    <x v="0"/>
    <n v="8"/>
    <n v="700"/>
    <x v="0"/>
  </r>
  <r>
    <x v="305"/>
    <s v="P1186"/>
    <x v="304"/>
    <x v="2"/>
    <x v="0"/>
    <x v="1"/>
    <x v="0"/>
    <n v="23"/>
    <n v="1000"/>
    <x v="0"/>
  </r>
  <r>
    <x v="306"/>
    <s v="P1152"/>
    <x v="305"/>
    <x v="0"/>
    <x v="0"/>
    <x v="1"/>
    <x v="0"/>
    <n v="41"/>
    <n v="1000"/>
    <x v="0"/>
  </r>
  <r>
    <x v="307"/>
    <s v="P1123"/>
    <x v="306"/>
    <x v="0"/>
    <x v="4"/>
    <x v="0"/>
    <x v="0"/>
    <n v="41"/>
    <n v="1000"/>
    <x v="1"/>
  </r>
  <r>
    <x v="308"/>
    <s v="P1036"/>
    <x v="307"/>
    <x v="8"/>
    <x v="1"/>
    <x v="3"/>
    <x v="0"/>
    <n v="31"/>
    <n v="700"/>
    <x v="1"/>
  </r>
  <r>
    <x v="309"/>
    <s v="P1113"/>
    <x v="308"/>
    <x v="7"/>
    <x v="1"/>
    <x v="2"/>
    <x v="1"/>
    <n v="0"/>
    <n v="800"/>
    <x v="1"/>
  </r>
  <r>
    <x v="310"/>
    <s v="P1036"/>
    <x v="309"/>
    <x v="1"/>
    <x v="2"/>
    <x v="0"/>
    <x v="0"/>
    <s v="Unknown"/>
    <n v="800"/>
    <x v="0"/>
  </r>
  <r>
    <x v="311"/>
    <s v="P1064"/>
    <x v="310"/>
    <x v="3"/>
    <x v="2"/>
    <x v="2"/>
    <x v="0"/>
    <n v="28"/>
    <n v="600"/>
    <x v="1"/>
  </r>
  <r>
    <x v="312"/>
    <s v="P1076"/>
    <x v="311"/>
    <x v="9"/>
    <x v="4"/>
    <x v="0"/>
    <x v="2"/>
    <n v="0"/>
    <n v="700"/>
    <x v="1"/>
  </r>
  <r>
    <x v="313"/>
    <s v="P1019"/>
    <x v="312"/>
    <x v="5"/>
    <x v="2"/>
    <x v="0"/>
    <x v="2"/>
    <n v="0"/>
    <n v="600"/>
    <x v="0"/>
  </r>
  <r>
    <x v="314"/>
    <s v="P1175"/>
    <x v="313"/>
    <x v="9"/>
    <x v="0"/>
    <x v="1"/>
    <x v="0"/>
    <n v="35"/>
    <n v="500"/>
    <x v="0"/>
  </r>
  <r>
    <x v="315"/>
    <s v="P1011"/>
    <x v="314"/>
    <x v="0"/>
    <x v="3"/>
    <x v="0"/>
    <x v="0"/>
    <n v="46"/>
    <n v="1000"/>
    <x v="0"/>
  </r>
  <r>
    <x v="316"/>
    <s v="P1022"/>
    <x v="315"/>
    <x v="6"/>
    <x v="0"/>
    <x v="1"/>
    <x v="0"/>
    <n v="35"/>
    <n v="600"/>
    <x v="0"/>
  </r>
  <r>
    <x v="317"/>
    <s v="P1084"/>
    <x v="316"/>
    <x v="2"/>
    <x v="2"/>
    <x v="3"/>
    <x v="0"/>
    <n v="31"/>
    <n v="900"/>
    <x v="1"/>
  </r>
  <r>
    <x v="318"/>
    <s v="P1030"/>
    <x v="15"/>
    <x v="3"/>
    <x v="2"/>
    <x v="3"/>
    <x v="0"/>
    <n v="31"/>
    <n v="700"/>
    <x v="1"/>
  </r>
  <r>
    <x v="319"/>
    <s v="P1042"/>
    <x v="317"/>
    <x v="9"/>
    <x v="3"/>
    <x v="3"/>
    <x v="2"/>
    <n v="0"/>
    <n v="600"/>
    <x v="0"/>
  </r>
  <r>
    <x v="320"/>
    <s v="P1188"/>
    <x v="318"/>
    <x v="6"/>
    <x v="2"/>
    <x v="0"/>
    <x v="2"/>
    <n v="0"/>
    <n v="500"/>
    <x v="1"/>
  </r>
  <r>
    <x v="321"/>
    <s v="P1161"/>
    <x v="319"/>
    <x v="3"/>
    <x v="4"/>
    <x v="0"/>
    <x v="0"/>
    <n v="12"/>
    <n v="500"/>
    <x v="0"/>
  </r>
  <r>
    <x v="322"/>
    <s v="P1066"/>
    <x v="228"/>
    <x v="5"/>
    <x v="1"/>
    <x v="0"/>
    <x v="0"/>
    <n v="22"/>
    <n v="700"/>
    <x v="1"/>
  </r>
  <r>
    <x v="323"/>
    <s v="P1094"/>
    <x v="320"/>
    <x v="7"/>
    <x v="1"/>
    <x v="3"/>
    <x v="0"/>
    <n v="24"/>
    <n v="900"/>
    <x v="1"/>
  </r>
  <r>
    <x v="324"/>
    <s v="P1107"/>
    <x v="321"/>
    <x v="7"/>
    <x v="0"/>
    <x v="2"/>
    <x v="0"/>
    <n v="30"/>
    <n v="800"/>
    <x v="0"/>
  </r>
  <r>
    <x v="325"/>
    <s v="P1206"/>
    <x v="322"/>
    <x v="2"/>
    <x v="0"/>
    <x v="0"/>
    <x v="0"/>
    <n v="62"/>
    <n v="1000"/>
    <x v="0"/>
  </r>
  <r>
    <x v="326"/>
    <s v="P1117"/>
    <x v="323"/>
    <x v="2"/>
    <x v="1"/>
    <x v="0"/>
    <x v="0"/>
    <n v="12"/>
    <n v="900"/>
    <x v="0"/>
  </r>
  <r>
    <x v="327"/>
    <s v="P1152"/>
    <x v="324"/>
    <x v="1"/>
    <x v="3"/>
    <x v="3"/>
    <x v="0"/>
    <n v="38"/>
    <n v="800"/>
    <x v="1"/>
  </r>
  <r>
    <x v="328"/>
    <s v="P1139"/>
    <x v="325"/>
    <x v="4"/>
    <x v="2"/>
    <x v="2"/>
    <x v="0"/>
    <n v="8"/>
    <n v="500"/>
    <x v="1"/>
  </r>
  <r>
    <x v="329"/>
    <s v="P1136"/>
    <x v="21"/>
    <x v="9"/>
    <x v="4"/>
    <x v="1"/>
    <x v="0"/>
    <n v="16"/>
    <n v="600"/>
    <x v="0"/>
  </r>
  <r>
    <x v="330"/>
    <s v="P1230"/>
    <x v="326"/>
    <x v="8"/>
    <x v="4"/>
    <x v="3"/>
    <x v="0"/>
    <n v="38"/>
    <n v="700"/>
    <x v="0"/>
  </r>
  <r>
    <x v="331"/>
    <s v="P1020"/>
    <x v="327"/>
    <x v="8"/>
    <x v="1"/>
    <x v="0"/>
    <x v="2"/>
    <n v="0"/>
    <s v="Unknown"/>
    <x v="0"/>
  </r>
  <r>
    <x v="332"/>
    <s v="P1082"/>
    <x v="328"/>
    <x v="7"/>
    <x v="1"/>
    <x v="3"/>
    <x v="0"/>
    <n v="30"/>
    <n v="800"/>
    <x v="0"/>
  </r>
  <r>
    <x v="333"/>
    <s v="P1043"/>
    <x v="329"/>
    <x v="7"/>
    <x v="2"/>
    <x v="3"/>
    <x v="0"/>
    <n v="17"/>
    <n v="800"/>
    <x v="0"/>
  </r>
  <r>
    <x v="334"/>
    <s v="P1079"/>
    <x v="330"/>
    <x v="3"/>
    <x v="0"/>
    <x v="3"/>
    <x v="0"/>
    <n v="13"/>
    <n v="700"/>
    <x v="0"/>
  </r>
  <r>
    <x v="335"/>
    <s v="P1038"/>
    <x v="91"/>
    <x v="0"/>
    <x v="2"/>
    <x v="0"/>
    <x v="0"/>
    <n v="43"/>
    <n v="1000"/>
    <x v="1"/>
  </r>
  <r>
    <x v="336"/>
    <s v="P1008"/>
    <x v="331"/>
    <x v="3"/>
    <x v="3"/>
    <x v="3"/>
    <x v="0"/>
    <n v="13"/>
    <n v="600"/>
    <x v="0"/>
  </r>
  <r>
    <x v="337"/>
    <s v="P1004"/>
    <x v="332"/>
    <x v="4"/>
    <x v="1"/>
    <x v="0"/>
    <x v="0"/>
    <n v="30"/>
    <n v="500"/>
    <x v="1"/>
  </r>
  <r>
    <x v="338"/>
    <s v="P1067"/>
    <x v="333"/>
    <x v="7"/>
    <x v="0"/>
    <x v="0"/>
    <x v="1"/>
    <n v="0"/>
    <n v="700"/>
    <x v="1"/>
  </r>
  <r>
    <x v="339"/>
    <s v="P1032"/>
    <x v="334"/>
    <x v="0"/>
    <x v="0"/>
    <x v="0"/>
    <x v="0"/>
    <n v="35"/>
    <n v="1000"/>
    <x v="0"/>
  </r>
  <r>
    <x v="340"/>
    <s v="P1098"/>
    <x v="335"/>
    <x v="0"/>
    <x v="2"/>
    <x v="3"/>
    <x v="0"/>
    <n v="27"/>
    <n v="1000"/>
    <x v="1"/>
  </r>
  <r>
    <x v="341"/>
    <s v="P1009"/>
    <x v="336"/>
    <x v="9"/>
    <x v="4"/>
    <x v="1"/>
    <x v="0"/>
    <n v="47"/>
    <n v="600"/>
    <x v="0"/>
  </r>
  <r>
    <x v="342"/>
    <s v="P1099"/>
    <x v="337"/>
    <x v="5"/>
    <x v="1"/>
    <x v="1"/>
    <x v="0"/>
    <n v="32"/>
    <n v="700"/>
    <x v="0"/>
  </r>
  <r>
    <x v="343"/>
    <s v="P1123"/>
    <x v="338"/>
    <x v="7"/>
    <x v="3"/>
    <x v="3"/>
    <x v="0"/>
    <n v="5"/>
    <n v="800"/>
    <x v="0"/>
  </r>
  <r>
    <x v="344"/>
    <s v="P1153"/>
    <x v="339"/>
    <x v="6"/>
    <x v="2"/>
    <x v="1"/>
    <x v="0"/>
    <n v="30"/>
    <n v="500"/>
    <x v="1"/>
  </r>
  <r>
    <x v="345"/>
    <s v="P1250"/>
    <x v="340"/>
    <x v="9"/>
    <x v="1"/>
    <x v="1"/>
    <x v="1"/>
    <n v="0"/>
    <n v="600"/>
    <x v="1"/>
  </r>
  <r>
    <x v="346"/>
    <s v="P1217"/>
    <x v="341"/>
    <x v="7"/>
    <x v="1"/>
    <x v="3"/>
    <x v="0"/>
    <n v="22"/>
    <n v="700"/>
    <x v="0"/>
  </r>
  <r>
    <x v="347"/>
    <s v="P1234"/>
    <x v="342"/>
    <x v="7"/>
    <x v="3"/>
    <x v="0"/>
    <x v="2"/>
    <n v="0"/>
    <n v="800"/>
    <x v="0"/>
  </r>
  <r>
    <x v="348"/>
    <s v="P1045"/>
    <x v="343"/>
    <x v="4"/>
    <x v="0"/>
    <x v="3"/>
    <x v="1"/>
    <n v="0"/>
    <n v="500"/>
    <x v="1"/>
  </r>
  <r>
    <x v="349"/>
    <s v="P1123"/>
    <x v="344"/>
    <x v="0"/>
    <x v="3"/>
    <x v="0"/>
    <x v="0"/>
    <n v="45"/>
    <n v="900"/>
    <x v="0"/>
  </r>
  <r>
    <x v="350"/>
    <s v="P1006"/>
    <x v="345"/>
    <x v="4"/>
    <x v="0"/>
    <x v="1"/>
    <x v="0"/>
    <n v="18"/>
    <n v="500"/>
    <x v="1"/>
  </r>
  <r>
    <x v="351"/>
    <s v="P1087"/>
    <x v="346"/>
    <x v="2"/>
    <x v="1"/>
    <x v="2"/>
    <x v="1"/>
    <n v="0"/>
    <n v="1000"/>
    <x v="0"/>
  </r>
  <r>
    <x v="352"/>
    <s v="P1178"/>
    <x v="347"/>
    <x v="7"/>
    <x v="3"/>
    <x v="2"/>
    <x v="0"/>
    <n v="28"/>
    <n v="700"/>
    <x v="1"/>
  </r>
  <r>
    <x v="353"/>
    <s v="P1187"/>
    <x v="348"/>
    <x v="4"/>
    <x v="3"/>
    <x v="0"/>
    <x v="0"/>
    <n v="34"/>
    <n v="500"/>
    <x v="0"/>
  </r>
  <r>
    <x v="354"/>
    <s v="P1164"/>
    <x v="349"/>
    <x v="4"/>
    <x v="1"/>
    <x v="0"/>
    <x v="1"/>
    <n v="0"/>
    <n v="500"/>
    <x v="0"/>
  </r>
  <r>
    <x v="355"/>
    <s v="P1163"/>
    <x v="350"/>
    <x v="1"/>
    <x v="4"/>
    <x v="0"/>
    <x v="0"/>
    <n v="40"/>
    <n v="800"/>
    <x v="0"/>
  </r>
  <r>
    <x v="356"/>
    <s v="P1090"/>
    <x v="351"/>
    <x v="8"/>
    <x v="0"/>
    <x v="2"/>
    <x v="2"/>
    <n v="0"/>
    <n v="700"/>
    <x v="1"/>
  </r>
  <r>
    <x v="357"/>
    <s v="P1127"/>
    <x v="352"/>
    <x v="0"/>
    <x v="3"/>
    <x v="3"/>
    <x v="0"/>
    <n v="20"/>
    <n v="1100"/>
    <x v="0"/>
  </r>
  <r>
    <x v="358"/>
    <s v="P1019"/>
    <x v="353"/>
    <x v="6"/>
    <x v="0"/>
    <x v="0"/>
    <x v="0"/>
    <n v="23"/>
    <n v="600"/>
    <x v="0"/>
  </r>
  <r>
    <x v="359"/>
    <s v="P1228"/>
    <x v="354"/>
    <x v="2"/>
    <x v="0"/>
    <x v="3"/>
    <x v="0"/>
    <n v="29"/>
    <n v="1000"/>
    <x v="1"/>
  </r>
  <r>
    <x v="360"/>
    <s v="P1111"/>
    <x v="99"/>
    <x v="0"/>
    <x v="1"/>
    <x v="1"/>
    <x v="2"/>
    <n v="0"/>
    <n v="1000"/>
    <x v="0"/>
  </r>
  <r>
    <x v="361"/>
    <s v="P1179"/>
    <x v="355"/>
    <x v="7"/>
    <x v="2"/>
    <x v="2"/>
    <x v="0"/>
    <n v="22"/>
    <n v="900"/>
    <x v="0"/>
  </r>
  <r>
    <x v="362"/>
    <s v="P1216"/>
    <x v="356"/>
    <x v="9"/>
    <x v="0"/>
    <x v="3"/>
    <x v="1"/>
    <n v="0"/>
    <n v="500"/>
    <x v="1"/>
  </r>
  <r>
    <x v="363"/>
    <s v="P1123"/>
    <x v="357"/>
    <x v="2"/>
    <x v="0"/>
    <x v="1"/>
    <x v="0"/>
    <n v="56"/>
    <n v="900"/>
    <x v="1"/>
  </r>
  <r>
    <x v="364"/>
    <s v="P1079"/>
    <x v="358"/>
    <x v="0"/>
    <x v="4"/>
    <x v="3"/>
    <x v="0"/>
    <n v="39"/>
    <n v="1000"/>
    <x v="2"/>
  </r>
  <r>
    <x v="365"/>
    <s v="P1227"/>
    <x v="359"/>
    <x v="5"/>
    <x v="1"/>
    <x v="3"/>
    <x v="0"/>
    <n v="9"/>
    <n v="700"/>
    <x v="0"/>
  </r>
  <r>
    <x v="366"/>
    <s v="P1058"/>
    <x v="360"/>
    <x v="1"/>
    <x v="1"/>
    <x v="2"/>
    <x v="0"/>
    <n v="41"/>
    <n v="800"/>
    <x v="1"/>
  </r>
  <r>
    <x v="367"/>
    <s v="P1142"/>
    <x v="361"/>
    <x v="7"/>
    <x v="3"/>
    <x v="0"/>
    <x v="1"/>
    <n v="0"/>
    <n v="800"/>
    <x v="0"/>
  </r>
  <r>
    <x v="368"/>
    <s v="P1021"/>
    <x v="362"/>
    <x v="6"/>
    <x v="3"/>
    <x v="3"/>
    <x v="0"/>
    <n v="53"/>
    <n v="500"/>
    <x v="1"/>
  </r>
  <r>
    <x v="369"/>
    <s v="P1207"/>
    <x v="363"/>
    <x v="4"/>
    <x v="0"/>
    <x v="1"/>
    <x v="0"/>
    <n v="40"/>
    <n v="500"/>
    <x v="1"/>
  </r>
  <r>
    <x v="370"/>
    <s v="P1214"/>
    <x v="364"/>
    <x v="2"/>
    <x v="0"/>
    <x v="2"/>
    <x v="2"/>
    <n v="0"/>
    <n v="1000"/>
    <x v="0"/>
  </r>
  <r>
    <x v="371"/>
    <s v="P1220"/>
    <x v="365"/>
    <x v="0"/>
    <x v="0"/>
    <x v="2"/>
    <x v="1"/>
    <n v="0"/>
    <n v="1000"/>
    <x v="0"/>
  </r>
  <r>
    <x v="372"/>
    <s v="P1151"/>
    <x v="366"/>
    <x v="2"/>
    <x v="3"/>
    <x v="0"/>
    <x v="0"/>
    <n v="16"/>
    <n v="900"/>
    <x v="1"/>
  </r>
  <r>
    <x v="373"/>
    <s v="P1099"/>
    <x v="367"/>
    <x v="4"/>
    <x v="0"/>
    <x v="3"/>
    <x v="0"/>
    <n v="22"/>
    <n v="500"/>
    <x v="0"/>
  </r>
  <r>
    <x v="374"/>
    <s v="P1175"/>
    <x v="368"/>
    <x v="0"/>
    <x v="4"/>
    <x v="3"/>
    <x v="1"/>
    <n v="0"/>
    <n v="900"/>
    <x v="1"/>
  </r>
  <r>
    <x v="375"/>
    <s v="P1236"/>
    <x v="369"/>
    <x v="5"/>
    <x v="0"/>
    <x v="2"/>
    <x v="2"/>
    <n v="0"/>
    <n v="800"/>
    <x v="0"/>
  </r>
  <r>
    <x v="376"/>
    <s v="P1249"/>
    <x v="370"/>
    <x v="2"/>
    <x v="2"/>
    <x v="1"/>
    <x v="0"/>
    <n v="50"/>
    <n v="1000"/>
    <x v="1"/>
  </r>
  <r>
    <x v="377"/>
    <s v="P1049"/>
    <x v="371"/>
    <x v="3"/>
    <x v="4"/>
    <x v="3"/>
    <x v="1"/>
    <n v="0"/>
    <n v="600"/>
    <x v="1"/>
  </r>
  <r>
    <x v="378"/>
    <s v="P1017"/>
    <x v="372"/>
    <x v="5"/>
    <x v="1"/>
    <x v="2"/>
    <x v="1"/>
    <n v="0"/>
    <n v="700"/>
    <x v="0"/>
  </r>
  <r>
    <x v="379"/>
    <s v="P1009"/>
    <x v="373"/>
    <x v="7"/>
    <x v="2"/>
    <x v="3"/>
    <x v="0"/>
    <n v="21"/>
    <n v="800"/>
    <x v="1"/>
  </r>
  <r>
    <x v="380"/>
    <s v="P1163"/>
    <x v="374"/>
    <x v="9"/>
    <x v="1"/>
    <x v="0"/>
    <x v="1"/>
    <n v="0"/>
    <n v="700"/>
    <x v="1"/>
  </r>
  <r>
    <x v="381"/>
    <s v="P1151"/>
    <x v="375"/>
    <x v="1"/>
    <x v="1"/>
    <x v="2"/>
    <x v="0"/>
    <n v="35"/>
    <n v="900"/>
    <x v="0"/>
  </r>
  <r>
    <x v="382"/>
    <s v="P1013"/>
    <x v="376"/>
    <x v="1"/>
    <x v="1"/>
    <x v="1"/>
    <x v="0"/>
    <n v="39"/>
    <n v="900"/>
    <x v="1"/>
  </r>
  <r>
    <x v="383"/>
    <s v="P1132"/>
    <x v="377"/>
    <x v="7"/>
    <x v="4"/>
    <x v="0"/>
    <x v="2"/>
    <n v="0"/>
    <n v="900"/>
    <x v="1"/>
  </r>
  <r>
    <x v="384"/>
    <s v="P1156"/>
    <x v="378"/>
    <x v="8"/>
    <x v="4"/>
    <x v="2"/>
    <x v="0"/>
    <n v="13"/>
    <n v="700"/>
    <x v="0"/>
  </r>
  <r>
    <x v="385"/>
    <s v="P1078"/>
    <x v="379"/>
    <x v="5"/>
    <x v="0"/>
    <x v="3"/>
    <x v="0"/>
    <n v="24"/>
    <n v="800"/>
    <x v="1"/>
  </r>
  <r>
    <x v="386"/>
    <s v="P1124"/>
    <x v="380"/>
    <x v="2"/>
    <x v="2"/>
    <x v="0"/>
    <x v="0"/>
    <n v="5"/>
    <n v="1000"/>
    <x v="0"/>
  </r>
  <r>
    <x v="387"/>
    <s v="P1133"/>
    <x v="381"/>
    <x v="3"/>
    <x v="3"/>
    <x v="1"/>
    <x v="0"/>
    <n v="9"/>
    <n v="600"/>
    <x v="1"/>
  </r>
  <r>
    <x v="388"/>
    <s v="P1168"/>
    <x v="382"/>
    <x v="6"/>
    <x v="2"/>
    <x v="3"/>
    <x v="2"/>
    <n v="0"/>
    <n v="500"/>
    <x v="0"/>
  </r>
  <r>
    <x v="389"/>
    <s v="P1209"/>
    <x v="383"/>
    <x v="3"/>
    <x v="1"/>
    <x v="1"/>
    <x v="1"/>
    <n v="0"/>
    <n v="500"/>
    <x v="0"/>
  </r>
  <r>
    <x v="390"/>
    <s v="P1047"/>
    <x v="384"/>
    <x v="1"/>
    <x v="4"/>
    <x v="2"/>
    <x v="0"/>
    <n v="26"/>
    <n v="700"/>
    <x v="1"/>
  </r>
  <r>
    <x v="391"/>
    <s v="P1168"/>
    <x v="385"/>
    <x v="8"/>
    <x v="2"/>
    <x v="0"/>
    <x v="2"/>
    <n v="0"/>
    <n v="700"/>
    <x v="1"/>
  </r>
  <r>
    <x v="392"/>
    <s v="P1150"/>
    <x v="386"/>
    <x v="9"/>
    <x v="0"/>
    <x v="2"/>
    <x v="0"/>
    <n v="7"/>
    <n v="600"/>
    <x v="0"/>
  </r>
  <r>
    <x v="393"/>
    <s v="P1129"/>
    <x v="387"/>
    <x v="2"/>
    <x v="3"/>
    <x v="0"/>
    <x v="0"/>
    <n v="54"/>
    <n v="1000"/>
    <x v="0"/>
  </r>
  <r>
    <x v="394"/>
    <s v="P1088"/>
    <x v="89"/>
    <x v="6"/>
    <x v="1"/>
    <x v="3"/>
    <x v="0"/>
    <n v="10"/>
    <n v="500"/>
    <x v="0"/>
  </r>
  <r>
    <x v="395"/>
    <s v="P1081"/>
    <x v="388"/>
    <x v="1"/>
    <x v="4"/>
    <x v="0"/>
    <x v="0"/>
    <n v="24"/>
    <n v="800"/>
    <x v="1"/>
  </r>
  <r>
    <x v="396"/>
    <s v="P1034"/>
    <x v="389"/>
    <x v="5"/>
    <x v="4"/>
    <x v="3"/>
    <x v="0"/>
    <n v="26"/>
    <n v="700"/>
    <x v="0"/>
  </r>
  <r>
    <x v="397"/>
    <s v="P1052"/>
    <x v="390"/>
    <x v="5"/>
    <x v="2"/>
    <x v="2"/>
    <x v="0"/>
    <n v="42"/>
    <n v="600"/>
    <x v="1"/>
  </r>
  <r>
    <x v="398"/>
    <s v="P1080"/>
    <x v="391"/>
    <x v="9"/>
    <x v="4"/>
    <x v="1"/>
    <x v="0"/>
    <n v="5"/>
    <n v="600"/>
    <x v="1"/>
  </r>
  <r>
    <x v="399"/>
    <s v="P1117"/>
    <x v="392"/>
    <x v="5"/>
    <x v="1"/>
    <x v="2"/>
    <x v="0"/>
    <n v="38"/>
    <n v="700"/>
    <x v="0"/>
  </r>
  <r>
    <x v="400"/>
    <s v="P1005"/>
    <x v="393"/>
    <x v="1"/>
    <x v="1"/>
    <x v="1"/>
    <x v="0"/>
    <n v="30"/>
    <n v="900"/>
    <x v="1"/>
  </r>
  <r>
    <x v="401"/>
    <s v="P1183"/>
    <x v="394"/>
    <x v="7"/>
    <x v="2"/>
    <x v="0"/>
    <x v="0"/>
    <n v="18"/>
    <n v="800"/>
    <x v="0"/>
  </r>
  <r>
    <x v="402"/>
    <s v="P1013"/>
    <x v="395"/>
    <x v="9"/>
    <x v="4"/>
    <x v="0"/>
    <x v="2"/>
    <n v="0"/>
    <n v="600"/>
    <x v="0"/>
  </r>
  <r>
    <x v="403"/>
    <s v="P1053"/>
    <x v="396"/>
    <x v="5"/>
    <x v="4"/>
    <x v="0"/>
    <x v="0"/>
    <n v="30"/>
    <n v="700"/>
    <x v="0"/>
  </r>
  <r>
    <x v="404"/>
    <s v="P1180"/>
    <x v="397"/>
    <x v="8"/>
    <x v="0"/>
    <x v="1"/>
    <x v="1"/>
    <n v="0"/>
    <n v="600"/>
    <x v="0"/>
  </r>
  <r>
    <x v="405"/>
    <s v="P1156"/>
    <x v="398"/>
    <x v="0"/>
    <x v="3"/>
    <x v="1"/>
    <x v="0"/>
    <n v="37"/>
    <n v="1000"/>
    <x v="0"/>
  </r>
  <r>
    <x v="406"/>
    <s v="P1141"/>
    <x v="399"/>
    <x v="4"/>
    <x v="4"/>
    <x v="3"/>
    <x v="0"/>
    <n v="20"/>
    <n v="500"/>
    <x v="1"/>
  </r>
  <r>
    <x v="407"/>
    <s v="P1233"/>
    <x v="400"/>
    <x v="5"/>
    <x v="1"/>
    <x v="0"/>
    <x v="2"/>
    <n v="0"/>
    <n v="700"/>
    <x v="0"/>
  </r>
  <r>
    <x v="408"/>
    <s v="P1117"/>
    <x v="401"/>
    <x v="7"/>
    <x v="4"/>
    <x v="2"/>
    <x v="0"/>
    <n v="30"/>
    <n v="800"/>
    <x v="0"/>
  </r>
  <r>
    <x v="409"/>
    <s v="P1206"/>
    <x v="215"/>
    <x v="8"/>
    <x v="0"/>
    <x v="2"/>
    <x v="0"/>
    <n v="20"/>
    <n v="700"/>
    <x v="0"/>
  </r>
  <r>
    <x v="410"/>
    <s v="P1085"/>
    <x v="320"/>
    <x v="0"/>
    <x v="3"/>
    <x v="2"/>
    <x v="2"/>
    <n v="0"/>
    <n v="1000"/>
    <x v="0"/>
  </r>
  <r>
    <x v="411"/>
    <s v="P1103"/>
    <x v="402"/>
    <x v="6"/>
    <x v="2"/>
    <x v="3"/>
    <x v="0"/>
    <n v="29"/>
    <n v="500"/>
    <x v="0"/>
  </r>
  <r>
    <x v="412"/>
    <s v="P1029"/>
    <x v="403"/>
    <x v="3"/>
    <x v="1"/>
    <x v="1"/>
    <x v="2"/>
    <n v="0"/>
    <n v="600"/>
    <x v="1"/>
  </r>
  <r>
    <x v="413"/>
    <s v="P1047"/>
    <x v="404"/>
    <x v="7"/>
    <x v="3"/>
    <x v="3"/>
    <x v="1"/>
    <n v="0"/>
    <n v="900"/>
    <x v="0"/>
  </r>
  <r>
    <x v="414"/>
    <s v="P1228"/>
    <x v="405"/>
    <x v="4"/>
    <x v="0"/>
    <x v="3"/>
    <x v="0"/>
    <n v="35"/>
    <n v="500"/>
    <x v="0"/>
  </r>
  <r>
    <x v="415"/>
    <s v="P1197"/>
    <x v="406"/>
    <x v="0"/>
    <x v="3"/>
    <x v="1"/>
    <x v="2"/>
    <n v="0"/>
    <n v="900"/>
    <x v="0"/>
  </r>
  <r>
    <x v="416"/>
    <s v="P1039"/>
    <x v="407"/>
    <x v="4"/>
    <x v="1"/>
    <x v="0"/>
    <x v="0"/>
    <n v="47"/>
    <n v="600"/>
    <x v="1"/>
  </r>
  <r>
    <x v="417"/>
    <s v="P1062"/>
    <x v="408"/>
    <x v="1"/>
    <x v="0"/>
    <x v="2"/>
    <x v="0"/>
    <n v="15"/>
    <n v="800"/>
    <x v="0"/>
  </r>
  <r>
    <x v="418"/>
    <s v="P1118"/>
    <x v="409"/>
    <x v="0"/>
    <x v="0"/>
    <x v="3"/>
    <x v="0"/>
    <n v="60"/>
    <n v="1000"/>
    <x v="0"/>
  </r>
  <r>
    <x v="419"/>
    <s v="P1053"/>
    <x v="410"/>
    <x v="0"/>
    <x v="2"/>
    <x v="3"/>
    <x v="1"/>
    <n v="0"/>
    <n v="900"/>
    <x v="0"/>
  </r>
  <r>
    <x v="420"/>
    <s v="P1154"/>
    <x v="411"/>
    <x v="9"/>
    <x v="4"/>
    <x v="3"/>
    <x v="1"/>
    <n v="0"/>
    <n v="500"/>
    <x v="0"/>
  </r>
  <r>
    <x v="421"/>
    <s v="P1213"/>
    <x v="412"/>
    <x v="8"/>
    <x v="0"/>
    <x v="2"/>
    <x v="0"/>
    <n v="23"/>
    <n v="700"/>
    <x v="0"/>
  </r>
  <r>
    <x v="422"/>
    <s v="P1028"/>
    <x v="413"/>
    <x v="0"/>
    <x v="1"/>
    <x v="2"/>
    <x v="2"/>
    <n v="0"/>
    <n v="1100"/>
    <x v="1"/>
  </r>
  <r>
    <x v="423"/>
    <s v="P1028"/>
    <x v="414"/>
    <x v="7"/>
    <x v="3"/>
    <x v="3"/>
    <x v="0"/>
    <n v="37"/>
    <n v="800"/>
    <x v="1"/>
  </r>
  <r>
    <x v="424"/>
    <s v="P1136"/>
    <x v="261"/>
    <x v="4"/>
    <x v="3"/>
    <x v="0"/>
    <x v="0"/>
    <n v="31"/>
    <n v="500"/>
    <x v="0"/>
  </r>
  <r>
    <x v="425"/>
    <s v="P1027"/>
    <x v="415"/>
    <x v="6"/>
    <x v="3"/>
    <x v="3"/>
    <x v="2"/>
    <n v="0"/>
    <n v="500"/>
    <x v="0"/>
  </r>
  <r>
    <x v="426"/>
    <s v="P1247"/>
    <x v="416"/>
    <x v="6"/>
    <x v="4"/>
    <x v="2"/>
    <x v="0"/>
    <n v="20"/>
    <n v="600"/>
    <x v="0"/>
  </r>
  <r>
    <x v="427"/>
    <s v="P1221"/>
    <x v="417"/>
    <x v="8"/>
    <x v="1"/>
    <x v="2"/>
    <x v="2"/>
    <n v="0"/>
    <n v="600"/>
    <x v="1"/>
  </r>
  <r>
    <x v="428"/>
    <s v="P1182"/>
    <x v="418"/>
    <x v="7"/>
    <x v="0"/>
    <x v="1"/>
    <x v="2"/>
    <n v="0"/>
    <n v="800"/>
    <x v="0"/>
  </r>
  <r>
    <x v="429"/>
    <s v="P1074"/>
    <x v="419"/>
    <x v="2"/>
    <x v="3"/>
    <x v="3"/>
    <x v="2"/>
    <n v="0"/>
    <n v="900"/>
    <x v="1"/>
  </r>
  <r>
    <x v="430"/>
    <s v="P1052"/>
    <x v="420"/>
    <x v="4"/>
    <x v="2"/>
    <x v="2"/>
    <x v="0"/>
    <n v="25"/>
    <n v="500"/>
    <x v="1"/>
  </r>
  <r>
    <x v="431"/>
    <s v="P1009"/>
    <x v="421"/>
    <x v="3"/>
    <x v="0"/>
    <x v="2"/>
    <x v="0"/>
    <n v="16"/>
    <n v="500"/>
    <x v="0"/>
  </r>
  <r>
    <x v="432"/>
    <s v="P1201"/>
    <x v="422"/>
    <x v="0"/>
    <x v="4"/>
    <x v="2"/>
    <x v="0"/>
    <n v="27"/>
    <n v="900"/>
    <x v="1"/>
  </r>
  <r>
    <x v="433"/>
    <s v="P1052"/>
    <x v="423"/>
    <x v="5"/>
    <x v="2"/>
    <x v="3"/>
    <x v="0"/>
    <n v="35"/>
    <n v="700"/>
    <x v="1"/>
  </r>
  <r>
    <x v="434"/>
    <s v="P1048"/>
    <x v="424"/>
    <x v="9"/>
    <x v="4"/>
    <x v="1"/>
    <x v="0"/>
    <n v="26"/>
    <n v="600"/>
    <x v="1"/>
  </r>
  <r>
    <x v="435"/>
    <s v="P1150"/>
    <x v="425"/>
    <x v="8"/>
    <x v="2"/>
    <x v="2"/>
    <x v="0"/>
    <n v="16"/>
    <n v="700"/>
    <x v="1"/>
  </r>
  <r>
    <x v="436"/>
    <s v="P1014"/>
    <x v="426"/>
    <x v="3"/>
    <x v="3"/>
    <x v="2"/>
    <x v="0"/>
    <n v="32"/>
    <n v="500"/>
    <x v="0"/>
  </r>
  <r>
    <x v="437"/>
    <s v="P1018"/>
    <x v="427"/>
    <x v="6"/>
    <x v="3"/>
    <x v="1"/>
    <x v="0"/>
    <n v="31"/>
    <n v="400"/>
    <x v="0"/>
  </r>
  <r>
    <x v="438"/>
    <s v="P1085"/>
    <x v="428"/>
    <x v="6"/>
    <x v="1"/>
    <x v="2"/>
    <x v="0"/>
    <n v="37"/>
    <n v="500"/>
    <x v="0"/>
  </r>
  <r>
    <x v="439"/>
    <s v="P1115"/>
    <x v="429"/>
    <x v="1"/>
    <x v="0"/>
    <x v="1"/>
    <x v="2"/>
    <n v="0"/>
    <n v="800"/>
    <x v="1"/>
  </r>
  <r>
    <x v="440"/>
    <s v="P1186"/>
    <x v="430"/>
    <x v="2"/>
    <x v="3"/>
    <x v="2"/>
    <x v="0"/>
    <n v="42"/>
    <n v="900"/>
    <x v="1"/>
  </r>
  <r>
    <x v="441"/>
    <s v="P1076"/>
    <x v="431"/>
    <x v="6"/>
    <x v="3"/>
    <x v="1"/>
    <x v="0"/>
    <n v="18"/>
    <n v="500"/>
    <x v="0"/>
  </r>
  <r>
    <x v="442"/>
    <s v="P1054"/>
    <x v="432"/>
    <x v="4"/>
    <x v="0"/>
    <x v="1"/>
    <x v="2"/>
    <n v="0"/>
    <n v="500"/>
    <x v="0"/>
  </r>
  <r>
    <x v="443"/>
    <s v="P1007"/>
    <x v="433"/>
    <x v="0"/>
    <x v="0"/>
    <x v="3"/>
    <x v="2"/>
    <n v="0"/>
    <n v="1000"/>
    <x v="0"/>
  </r>
  <r>
    <x v="444"/>
    <s v="P1019"/>
    <x v="434"/>
    <x v="0"/>
    <x v="4"/>
    <x v="1"/>
    <x v="0"/>
    <n v="28"/>
    <n v="900"/>
    <x v="0"/>
  </r>
  <r>
    <x v="445"/>
    <s v="P1100"/>
    <x v="435"/>
    <x v="5"/>
    <x v="3"/>
    <x v="0"/>
    <x v="0"/>
    <n v="33"/>
    <n v="700"/>
    <x v="1"/>
  </r>
  <r>
    <x v="446"/>
    <s v="P1028"/>
    <x v="436"/>
    <x v="4"/>
    <x v="3"/>
    <x v="2"/>
    <x v="0"/>
    <n v="35"/>
    <n v="400"/>
    <x v="0"/>
  </r>
  <r>
    <x v="447"/>
    <s v="P1122"/>
    <x v="437"/>
    <x v="4"/>
    <x v="1"/>
    <x v="1"/>
    <x v="0"/>
    <n v="27"/>
    <n v="500"/>
    <x v="1"/>
  </r>
  <r>
    <x v="448"/>
    <s v="P1246"/>
    <x v="438"/>
    <x v="1"/>
    <x v="0"/>
    <x v="0"/>
    <x v="0"/>
    <n v="31"/>
    <n v="800"/>
    <x v="1"/>
  </r>
  <r>
    <x v="449"/>
    <s v="P1243"/>
    <x v="439"/>
    <x v="0"/>
    <x v="1"/>
    <x v="0"/>
    <x v="1"/>
    <n v="0"/>
    <n v="900"/>
    <x v="0"/>
  </r>
  <r>
    <x v="450"/>
    <s v="P1057"/>
    <x v="440"/>
    <x v="1"/>
    <x v="0"/>
    <x v="2"/>
    <x v="0"/>
    <n v="45"/>
    <n v="800"/>
    <x v="1"/>
  </r>
  <r>
    <x v="451"/>
    <s v="P1166"/>
    <x v="441"/>
    <x v="0"/>
    <x v="0"/>
    <x v="0"/>
    <x v="1"/>
    <n v="0"/>
    <n v="1100"/>
    <x v="0"/>
  </r>
  <r>
    <x v="452"/>
    <s v="P1033"/>
    <x v="442"/>
    <x v="2"/>
    <x v="2"/>
    <x v="1"/>
    <x v="0"/>
    <n v="27"/>
    <n v="1000"/>
    <x v="1"/>
  </r>
  <r>
    <x v="453"/>
    <s v="P1158"/>
    <x v="443"/>
    <x v="9"/>
    <x v="3"/>
    <x v="2"/>
    <x v="0"/>
    <n v="28"/>
    <n v="600"/>
    <x v="1"/>
  </r>
  <r>
    <x v="454"/>
    <s v="P1064"/>
    <x v="444"/>
    <x v="6"/>
    <x v="2"/>
    <x v="1"/>
    <x v="0"/>
    <n v="25"/>
    <n v="500"/>
    <x v="0"/>
  </r>
  <r>
    <x v="455"/>
    <s v="P1092"/>
    <x v="445"/>
    <x v="3"/>
    <x v="3"/>
    <x v="2"/>
    <x v="0"/>
    <n v="19"/>
    <n v="700"/>
    <x v="0"/>
  </r>
  <r>
    <x v="456"/>
    <s v="P1229"/>
    <x v="446"/>
    <x v="4"/>
    <x v="0"/>
    <x v="1"/>
    <x v="0"/>
    <n v="41"/>
    <n v="500"/>
    <x v="0"/>
  </r>
  <r>
    <x v="457"/>
    <s v="P1104"/>
    <x v="447"/>
    <x v="0"/>
    <x v="3"/>
    <x v="1"/>
    <x v="1"/>
    <n v="0"/>
    <n v="900"/>
    <x v="1"/>
  </r>
  <r>
    <x v="458"/>
    <s v="P1094"/>
    <x v="448"/>
    <x v="6"/>
    <x v="3"/>
    <x v="3"/>
    <x v="2"/>
    <n v="0"/>
    <n v="500"/>
    <x v="1"/>
  </r>
  <r>
    <x v="459"/>
    <s v="P1129"/>
    <x v="449"/>
    <x v="6"/>
    <x v="3"/>
    <x v="0"/>
    <x v="0"/>
    <n v="37"/>
    <n v="500"/>
    <x v="1"/>
  </r>
  <r>
    <x v="460"/>
    <s v="P1145"/>
    <x v="450"/>
    <x v="4"/>
    <x v="2"/>
    <x v="1"/>
    <x v="0"/>
    <n v="37"/>
    <n v="500"/>
    <x v="0"/>
  </r>
  <r>
    <x v="461"/>
    <s v="P1095"/>
    <x v="451"/>
    <x v="9"/>
    <x v="1"/>
    <x v="1"/>
    <x v="0"/>
    <n v="37"/>
    <n v="600"/>
    <x v="1"/>
  </r>
  <r>
    <x v="462"/>
    <s v="P1167"/>
    <x v="452"/>
    <x v="1"/>
    <x v="3"/>
    <x v="2"/>
    <x v="0"/>
    <n v="30"/>
    <n v="800"/>
    <x v="1"/>
  </r>
  <r>
    <x v="463"/>
    <s v="P1094"/>
    <x v="453"/>
    <x v="6"/>
    <x v="4"/>
    <x v="0"/>
    <x v="0"/>
    <n v="36"/>
    <n v="600"/>
    <x v="0"/>
  </r>
  <r>
    <x v="464"/>
    <s v="P1203"/>
    <x v="454"/>
    <x v="8"/>
    <x v="3"/>
    <x v="3"/>
    <x v="0"/>
    <n v="21"/>
    <n v="800"/>
    <x v="1"/>
  </r>
  <r>
    <x v="465"/>
    <s v="P1165"/>
    <x v="455"/>
    <x v="4"/>
    <x v="1"/>
    <x v="2"/>
    <x v="0"/>
    <n v="31"/>
    <n v="400"/>
    <x v="1"/>
  </r>
  <r>
    <x v="466"/>
    <s v="P1107"/>
    <x v="456"/>
    <x v="7"/>
    <x v="4"/>
    <x v="2"/>
    <x v="2"/>
    <n v="0"/>
    <n v="800"/>
    <x v="1"/>
  </r>
  <r>
    <x v="467"/>
    <s v="P1006"/>
    <x v="457"/>
    <x v="5"/>
    <x v="1"/>
    <x v="1"/>
    <x v="2"/>
    <n v="0"/>
    <n v="800"/>
    <x v="1"/>
  </r>
  <r>
    <x v="468"/>
    <s v="P1015"/>
    <x v="458"/>
    <x v="7"/>
    <x v="1"/>
    <x v="1"/>
    <x v="1"/>
    <n v="0"/>
    <n v="800"/>
    <x v="0"/>
  </r>
  <r>
    <x v="469"/>
    <s v="P1243"/>
    <x v="459"/>
    <x v="1"/>
    <x v="4"/>
    <x v="0"/>
    <x v="2"/>
    <n v="0"/>
    <n v="800"/>
    <x v="1"/>
  </r>
  <r>
    <x v="470"/>
    <s v="P1037"/>
    <x v="460"/>
    <x v="5"/>
    <x v="1"/>
    <x v="1"/>
    <x v="0"/>
    <n v="23"/>
    <n v="600"/>
    <x v="0"/>
  </r>
  <r>
    <x v="471"/>
    <s v="P1099"/>
    <x v="461"/>
    <x v="1"/>
    <x v="0"/>
    <x v="1"/>
    <x v="0"/>
    <n v="31"/>
    <n v="900"/>
    <x v="1"/>
  </r>
  <r>
    <x v="472"/>
    <s v="P1025"/>
    <x v="462"/>
    <x v="0"/>
    <x v="3"/>
    <x v="1"/>
    <x v="0"/>
    <n v="42"/>
    <n v="900"/>
    <x v="0"/>
  </r>
  <r>
    <x v="473"/>
    <s v="P1169"/>
    <x v="463"/>
    <x v="4"/>
    <x v="4"/>
    <x v="1"/>
    <x v="0"/>
    <n v="18"/>
    <n v="600"/>
    <x v="1"/>
  </r>
  <r>
    <x v="474"/>
    <s v="P1203"/>
    <x v="464"/>
    <x v="5"/>
    <x v="3"/>
    <x v="3"/>
    <x v="0"/>
    <n v="50"/>
    <n v="800"/>
    <x v="0"/>
  </r>
  <r>
    <x v="475"/>
    <s v="P1233"/>
    <x v="465"/>
    <x v="4"/>
    <x v="3"/>
    <x v="0"/>
    <x v="0"/>
    <n v="15"/>
    <n v="500"/>
    <x v="0"/>
  </r>
  <r>
    <x v="476"/>
    <s v="P1148"/>
    <x v="466"/>
    <x v="6"/>
    <x v="4"/>
    <x v="0"/>
    <x v="2"/>
    <n v="0"/>
    <n v="500"/>
    <x v="1"/>
  </r>
  <r>
    <x v="477"/>
    <s v="P1040"/>
    <x v="467"/>
    <x v="8"/>
    <x v="2"/>
    <x v="3"/>
    <x v="0"/>
    <n v="10"/>
    <n v="700"/>
    <x v="0"/>
  </r>
  <r>
    <x v="478"/>
    <s v="P1194"/>
    <x v="468"/>
    <x v="3"/>
    <x v="3"/>
    <x v="1"/>
    <x v="2"/>
    <n v="0"/>
    <n v="700"/>
    <x v="0"/>
  </r>
  <r>
    <x v="479"/>
    <s v="P1148"/>
    <x v="469"/>
    <x v="6"/>
    <x v="1"/>
    <x v="2"/>
    <x v="0"/>
    <n v="41"/>
    <n v="500"/>
    <x v="0"/>
  </r>
  <r>
    <x v="480"/>
    <s v="P1131"/>
    <x v="470"/>
    <x v="7"/>
    <x v="3"/>
    <x v="3"/>
    <x v="0"/>
    <n v="39"/>
    <n v="800"/>
    <x v="0"/>
  </r>
  <r>
    <x v="481"/>
    <s v="P1121"/>
    <x v="471"/>
    <x v="4"/>
    <x v="0"/>
    <x v="3"/>
    <x v="0"/>
    <n v="35"/>
    <n v="500"/>
    <x v="1"/>
  </r>
  <r>
    <x v="482"/>
    <s v="P1186"/>
    <x v="472"/>
    <x v="2"/>
    <x v="3"/>
    <x v="3"/>
    <x v="1"/>
    <n v="0"/>
    <n v="1000"/>
    <x v="0"/>
  </r>
  <r>
    <x v="483"/>
    <s v="P1113"/>
    <x v="473"/>
    <x v="6"/>
    <x v="3"/>
    <x v="0"/>
    <x v="2"/>
    <n v="0"/>
    <n v="600"/>
    <x v="1"/>
  </r>
  <r>
    <x v="484"/>
    <s v="P1173"/>
    <x v="474"/>
    <x v="6"/>
    <x v="1"/>
    <x v="0"/>
    <x v="1"/>
    <n v="0"/>
    <n v="500"/>
    <x v="0"/>
  </r>
  <r>
    <x v="485"/>
    <s v="P1172"/>
    <x v="475"/>
    <x v="7"/>
    <x v="3"/>
    <x v="3"/>
    <x v="0"/>
    <n v="37"/>
    <n v="800"/>
    <x v="0"/>
  </r>
  <r>
    <x v="486"/>
    <s v="P1073"/>
    <x v="476"/>
    <x v="4"/>
    <x v="2"/>
    <x v="2"/>
    <x v="0"/>
    <n v="27"/>
    <n v="400"/>
    <x v="0"/>
  </r>
  <r>
    <x v="487"/>
    <s v="P1002"/>
    <x v="477"/>
    <x v="9"/>
    <x v="4"/>
    <x v="2"/>
    <x v="0"/>
    <n v="11"/>
    <n v="500"/>
    <x v="1"/>
  </r>
  <r>
    <x v="488"/>
    <s v="P1206"/>
    <x v="478"/>
    <x v="8"/>
    <x v="4"/>
    <x v="2"/>
    <x v="0"/>
    <n v="25"/>
    <n v="700"/>
    <x v="0"/>
  </r>
  <r>
    <x v="489"/>
    <s v="P1175"/>
    <x v="479"/>
    <x v="5"/>
    <x v="4"/>
    <x v="3"/>
    <x v="0"/>
    <n v="16"/>
    <n v="800"/>
    <x v="1"/>
  </r>
  <r>
    <x v="490"/>
    <s v="P1174"/>
    <x v="480"/>
    <x v="8"/>
    <x v="4"/>
    <x v="1"/>
    <x v="2"/>
    <n v="0"/>
    <n v="700"/>
    <x v="0"/>
  </r>
  <r>
    <x v="491"/>
    <s v="P1064"/>
    <x v="481"/>
    <x v="5"/>
    <x v="4"/>
    <x v="2"/>
    <x v="2"/>
    <n v="0"/>
    <n v="700"/>
    <x v="1"/>
  </r>
  <r>
    <x v="492"/>
    <s v="P1091"/>
    <x v="482"/>
    <x v="5"/>
    <x v="1"/>
    <x v="1"/>
    <x v="0"/>
    <n v="36"/>
    <n v="700"/>
    <x v="0"/>
  </r>
  <r>
    <x v="493"/>
    <s v="P1224"/>
    <x v="483"/>
    <x v="7"/>
    <x v="1"/>
    <x v="2"/>
    <x v="2"/>
    <n v="0"/>
    <n v="800"/>
    <x v="1"/>
  </r>
  <r>
    <x v="494"/>
    <s v="P1031"/>
    <x v="484"/>
    <x v="7"/>
    <x v="3"/>
    <x v="0"/>
    <x v="0"/>
    <n v="28"/>
    <n v="800"/>
    <x v="0"/>
  </r>
  <r>
    <x v="495"/>
    <s v="P1081"/>
    <x v="485"/>
    <x v="4"/>
    <x v="4"/>
    <x v="3"/>
    <x v="0"/>
    <n v="18"/>
    <n v="400"/>
    <x v="0"/>
  </r>
  <r>
    <x v="496"/>
    <s v="P1033"/>
    <x v="486"/>
    <x v="8"/>
    <x v="4"/>
    <x v="0"/>
    <x v="0"/>
    <n v="21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73839-1CF1-41B7-8F0F-023EEEBBB97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:N11" firstHeaderRow="1" firstDataRow="1" firstDataCol="1" rowPageCount="1" colPageCount="1"/>
  <pivotFields count="10">
    <pivotField showAll="0"/>
    <pivotField showAll="0"/>
    <pivotField numFmtId="165" showAll="0">
      <items count="488">
        <item x="305"/>
        <item x="13"/>
        <item x="357"/>
        <item x="250"/>
        <item x="439"/>
        <item x="107"/>
        <item x="74"/>
        <item x="391"/>
        <item x="122"/>
        <item x="447"/>
        <item x="142"/>
        <item x="394"/>
        <item x="47"/>
        <item x="182"/>
        <item x="420"/>
        <item x="19"/>
        <item x="8"/>
        <item x="109"/>
        <item x="115"/>
        <item x="217"/>
        <item x="151"/>
        <item x="173"/>
        <item x="320"/>
        <item x="360"/>
        <item x="191"/>
        <item x="387"/>
        <item x="200"/>
        <item x="206"/>
        <item x="228"/>
        <item x="223"/>
        <item x="124"/>
        <item x="186"/>
        <item x="300"/>
        <item x="235"/>
        <item x="39"/>
        <item x="147"/>
        <item x="434"/>
        <item x="29"/>
        <item x="427"/>
        <item x="346"/>
        <item x="350"/>
        <item x="52"/>
        <item x="141"/>
        <item x="482"/>
        <item x="226"/>
        <item x="63"/>
        <item x="177"/>
        <item x="254"/>
        <item x="364"/>
        <item x="316"/>
        <item x="77"/>
        <item x="361"/>
        <item x="176"/>
        <item x="262"/>
        <item x="221"/>
        <item x="1"/>
        <item x="428"/>
        <item x="402"/>
        <item x="112"/>
        <item x="255"/>
        <item x="134"/>
        <item x="359"/>
        <item x="410"/>
        <item x="356"/>
        <item x="432"/>
        <item x="412"/>
        <item x="129"/>
        <item x="332"/>
        <item x="215"/>
        <item x="442"/>
        <item x="355"/>
        <item x="353"/>
        <item x="75"/>
        <item x="307"/>
        <item x="3"/>
        <item x="264"/>
        <item x="145"/>
        <item x="278"/>
        <item x="199"/>
        <item x="32"/>
        <item x="312"/>
        <item x="366"/>
        <item x="317"/>
        <item x="294"/>
        <item x="363"/>
        <item x="322"/>
        <item x="330"/>
        <item x="396"/>
        <item x="187"/>
        <item x="16"/>
        <item x="30"/>
        <item x="345"/>
        <item x="188"/>
        <item x="445"/>
        <item x="449"/>
        <item x="458"/>
        <item x="267"/>
        <item x="417"/>
        <item x="202"/>
        <item x="326"/>
        <item x="168"/>
        <item x="421"/>
        <item x="212"/>
        <item x="325"/>
        <item x="426"/>
        <item x="234"/>
        <item x="131"/>
        <item x="475"/>
        <item x="91"/>
        <item x="456"/>
        <item x="62"/>
        <item x="471"/>
        <item x="14"/>
        <item x="392"/>
        <item x="318"/>
        <item x="413"/>
        <item x="144"/>
        <item x="249"/>
        <item x="358"/>
        <item x="373"/>
        <item x="184"/>
        <item x="446"/>
        <item x="469"/>
        <item x="49"/>
        <item x="40"/>
        <item x="388"/>
        <item x="158"/>
        <item x="349"/>
        <item x="336"/>
        <item x="282"/>
        <item x="474"/>
        <item x="210"/>
        <item x="424"/>
        <item x="72"/>
        <item x="443"/>
        <item x="329"/>
        <item x="110"/>
        <item x="213"/>
        <item x="295"/>
        <item x="54"/>
        <item x="389"/>
        <item x="45"/>
        <item x="258"/>
        <item x="440"/>
        <item x="183"/>
        <item x="166"/>
        <item x="108"/>
        <item x="291"/>
        <item x="472"/>
        <item x="451"/>
        <item x="189"/>
        <item x="411"/>
        <item x="470"/>
        <item x="344"/>
        <item x="400"/>
        <item x="180"/>
        <item x="342"/>
        <item x="15"/>
        <item x="240"/>
        <item x="143"/>
        <item x="93"/>
        <item x="196"/>
        <item x="484"/>
        <item x="104"/>
        <item x="466"/>
        <item x="354"/>
        <item x="480"/>
        <item x="28"/>
        <item x="406"/>
        <item x="385"/>
        <item x="79"/>
        <item x="351"/>
        <item x="453"/>
        <item x="195"/>
        <item x="341"/>
        <item x="90"/>
        <item x="257"/>
        <item x="219"/>
        <item x="319"/>
        <item x="238"/>
        <item x="0"/>
        <item x="381"/>
        <item x="374"/>
        <item x="368"/>
        <item x="73"/>
        <item x="117"/>
        <item x="86"/>
        <item x="272"/>
        <item x="23"/>
        <item x="68"/>
        <item x="398"/>
        <item x="162"/>
        <item x="323"/>
        <item x="301"/>
        <item x="437"/>
        <item x="46"/>
        <item x="174"/>
        <item x="165"/>
        <item x="367"/>
        <item x="328"/>
        <item x="296"/>
        <item x="157"/>
        <item x="25"/>
        <item x="70"/>
        <item x="111"/>
        <item x="280"/>
        <item x="185"/>
        <item x="55"/>
        <item x="233"/>
        <item x="78"/>
        <item x="370"/>
        <item x="386"/>
        <item x="156"/>
        <item x="17"/>
        <item x="148"/>
        <item x="310"/>
        <item x="444"/>
        <item x="246"/>
        <item x="211"/>
        <item x="216"/>
        <item x="371"/>
        <item x="139"/>
        <item x="135"/>
        <item x="270"/>
        <item x="34"/>
        <item x="218"/>
        <item x="87"/>
        <item x="18"/>
        <item x="67"/>
        <item x="22"/>
        <item x="220"/>
        <item x="99"/>
        <item x="94"/>
        <item x="137"/>
        <item x="133"/>
        <item x="154"/>
        <item x="379"/>
        <item x="265"/>
        <item x="399"/>
        <item x="10"/>
        <item x="65"/>
        <item x="275"/>
        <item x="284"/>
        <item x="464"/>
        <item x="242"/>
        <item x="205"/>
        <item x="251"/>
        <item x="164"/>
        <item x="348"/>
        <item x="24"/>
        <item x="430"/>
        <item x="59"/>
        <item x="106"/>
        <item x="53"/>
        <item x="222"/>
        <item x="352"/>
        <item x="283"/>
        <item x="339"/>
        <item x="263"/>
        <item x="152"/>
        <item x="452"/>
        <item x="365"/>
        <item x="313"/>
        <item x="414"/>
        <item x="229"/>
        <item x="194"/>
        <item x="333"/>
        <item x="383"/>
        <item x="290"/>
        <item x="89"/>
        <item x="37"/>
        <item x="127"/>
        <item x="266"/>
        <item x="208"/>
        <item x="423"/>
        <item x="241"/>
        <item x="404"/>
        <item x="268"/>
        <item x="416"/>
        <item x="167"/>
        <item x="293"/>
        <item x="465"/>
        <item x="274"/>
        <item x="71"/>
        <item x="425"/>
        <item x="132"/>
        <item x="102"/>
        <item x="407"/>
        <item x="260"/>
        <item x="56"/>
        <item x="347"/>
        <item x="84"/>
        <item x="83"/>
        <item x="455"/>
        <item x="236"/>
        <item x="273"/>
        <item x="175"/>
        <item x="193"/>
        <item x="181"/>
        <item x="101"/>
        <item x="178"/>
        <item x="123"/>
        <item x="277"/>
        <item x="51"/>
        <item x="163"/>
        <item x="435"/>
        <item x="261"/>
        <item x="289"/>
        <item x="80"/>
        <item x="88"/>
        <item x="279"/>
        <item x="126"/>
        <item x="461"/>
        <item x="269"/>
        <item x="38"/>
        <item x="58"/>
        <item x="149"/>
        <item x="146"/>
        <item x="340"/>
        <item x="61"/>
        <item x="76"/>
        <item x="457"/>
        <item x="243"/>
        <item x="271"/>
        <item x="390"/>
        <item x="460"/>
        <item x="393"/>
        <item x="69"/>
        <item x="375"/>
        <item x="408"/>
        <item x="483"/>
        <item x="197"/>
        <item x="256"/>
        <item x="248"/>
        <item x="150"/>
        <item x="190"/>
        <item x="26"/>
        <item x="140"/>
        <item x="43"/>
        <item x="33"/>
        <item x="401"/>
        <item x="415"/>
        <item x="486"/>
        <item x="287"/>
        <item x="331"/>
        <item x="179"/>
        <item x="450"/>
        <item x="431"/>
        <item x="476"/>
        <item x="372"/>
        <item x="454"/>
        <item x="203"/>
        <item x="481"/>
        <item x="311"/>
        <item x="227"/>
        <item x="42"/>
        <item x="462"/>
        <item x="253"/>
        <item x="169"/>
        <item x="239"/>
        <item x="98"/>
        <item x="252"/>
        <item x="308"/>
        <item x="7"/>
        <item x="245"/>
        <item x="463"/>
        <item x="4"/>
        <item x="225"/>
        <item x="433"/>
        <item x="362"/>
        <item x="95"/>
        <item x="100"/>
        <item x="485"/>
        <item x="121"/>
        <item x="438"/>
        <item x="118"/>
        <item x="448"/>
        <item x="201"/>
        <item x="409"/>
        <item x="337"/>
        <item x="292"/>
        <item x="281"/>
        <item x="321"/>
        <item x="247"/>
        <item x="153"/>
        <item x="429"/>
        <item x="478"/>
        <item x="419"/>
        <item x="380"/>
        <item x="343"/>
        <item x="324"/>
        <item x="468"/>
        <item x="276"/>
        <item x="479"/>
        <item x="259"/>
        <item x="207"/>
        <item x="335"/>
        <item x="20"/>
        <item x="298"/>
        <item x="237"/>
        <item x="327"/>
        <item x="171"/>
        <item x="436"/>
        <item x="198"/>
        <item x="314"/>
        <item x="120"/>
        <item x="2"/>
        <item x="66"/>
        <item x="395"/>
        <item x="473"/>
        <item x="138"/>
        <item x="459"/>
        <item x="161"/>
        <item x="125"/>
        <item x="477"/>
        <item x="41"/>
        <item x="159"/>
        <item x="285"/>
        <item x="103"/>
        <item x="31"/>
        <item x="224"/>
        <item x="204"/>
        <item x="309"/>
        <item x="36"/>
        <item x="418"/>
        <item x="57"/>
        <item x="302"/>
        <item x="315"/>
        <item x="172"/>
        <item x="338"/>
        <item x="6"/>
        <item x="170"/>
        <item x="288"/>
        <item x="113"/>
        <item x="105"/>
        <item x="192"/>
        <item x="155"/>
        <item x="231"/>
        <item x="9"/>
        <item x="119"/>
        <item x="114"/>
        <item x="378"/>
        <item x="82"/>
        <item x="92"/>
        <item x="334"/>
        <item x="422"/>
        <item x="60"/>
        <item x="232"/>
        <item x="21"/>
        <item x="97"/>
        <item x="5"/>
        <item x="64"/>
        <item x="382"/>
        <item x="136"/>
        <item x="209"/>
        <item x="397"/>
        <item x="304"/>
        <item x="128"/>
        <item x="130"/>
        <item x="44"/>
        <item x="50"/>
        <item x="384"/>
        <item x="214"/>
        <item x="116"/>
        <item x="441"/>
        <item x="286"/>
        <item x="27"/>
        <item x="85"/>
        <item x="377"/>
        <item x="160"/>
        <item x="12"/>
        <item x="11"/>
        <item x="405"/>
        <item x="81"/>
        <item x="376"/>
        <item x="35"/>
        <item x="303"/>
        <item x="369"/>
        <item x="467"/>
        <item x="403"/>
        <item x="299"/>
        <item x="96"/>
        <item x="306"/>
        <item x="48"/>
        <item x="244"/>
        <item x="230"/>
        <item x="297"/>
        <item t="default"/>
      </items>
    </pivotField>
    <pivotField showAll="0"/>
    <pivotField axis="axisRow" showAll="0" sortType="ascending">
      <items count="6">
        <item x="0"/>
        <item x="4"/>
        <item x="3"/>
        <item x="1"/>
        <item x="2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item="1" hier="-1"/>
  </pageFields>
  <dataFields count="1">
    <dataField name="Sum of Fee" fld="8" baseField="4" baseItem="0"/>
  </dataFields>
  <formats count="12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4" type="button" dataOnly="0" labelOnly="1" outline="0" axis="axisRow" fieldPosition="0"/>
    </format>
    <format dxfId="48">
      <pivotArea dataOnly="0" labelOnly="1" fieldPosition="0">
        <references count="1">
          <reference field="4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2EE5F-8C0C-46DA-B89F-0F2E389B97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6:AS17" firstHeaderRow="1" firstDataRow="1" firstDataCol="1"/>
  <pivotFields count="10">
    <pivotField showAll="0"/>
    <pivotField showAll="0"/>
    <pivotField numFmtId="165" showAll="0">
      <items count="488">
        <item x="305"/>
        <item x="13"/>
        <item x="357"/>
        <item x="250"/>
        <item x="439"/>
        <item x="107"/>
        <item x="74"/>
        <item x="391"/>
        <item x="122"/>
        <item x="447"/>
        <item x="142"/>
        <item x="394"/>
        <item x="47"/>
        <item x="182"/>
        <item x="420"/>
        <item x="19"/>
        <item x="8"/>
        <item x="109"/>
        <item x="115"/>
        <item x="217"/>
        <item x="151"/>
        <item x="173"/>
        <item x="320"/>
        <item x="360"/>
        <item x="191"/>
        <item x="387"/>
        <item x="200"/>
        <item x="206"/>
        <item x="228"/>
        <item x="223"/>
        <item x="124"/>
        <item x="186"/>
        <item x="300"/>
        <item x="235"/>
        <item x="39"/>
        <item x="147"/>
        <item x="434"/>
        <item x="29"/>
        <item x="427"/>
        <item x="346"/>
        <item x="350"/>
        <item x="52"/>
        <item x="141"/>
        <item x="482"/>
        <item x="226"/>
        <item x="63"/>
        <item x="177"/>
        <item x="254"/>
        <item x="364"/>
        <item x="316"/>
        <item x="77"/>
        <item x="361"/>
        <item x="176"/>
        <item x="262"/>
        <item x="221"/>
        <item x="1"/>
        <item x="428"/>
        <item x="402"/>
        <item x="112"/>
        <item x="255"/>
        <item x="134"/>
        <item x="359"/>
        <item x="410"/>
        <item x="356"/>
        <item x="432"/>
        <item x="412"/>
        <item x="129"/>
        <item x="332"/>
        <item x="215"/>
        <item x="442"/>
        <item x="355"/>
        <item x="353"/>
        <item x="75"/>
        <item x="307"/>
        <item x="3"/>
        <item x="264"/>
        <item x="145"/>
        <item x="278"/>
        <item x="199"/>
        <item x="32"/>
        <item x="312"/>
        <item x="366"/>
        <item x="317"/>
        <item x="294"/>
        <item x="363"/>
        <item x="322"/>
        <item x="330"/>
        <item x="396"/>
        <item x="187"/>
        <item x="16"/>
        <item x="30"/>
        <item x="345"/>
        <item x="188"/>
        <item x="445"/>
        <item x="449"/>
        <item x="458"/>
        <item x="267"/>
        <item x="417"/>
        <item x="202"/>
        <item x="326"/>
        <item x="168"/>
        <item x="421"/>
        <item x="212"/>
        <item x="325"/>
        <item x="426"/>
        <item x="234"/>
        <item x="131"/>
        <item x="475"/>
        <item x="91"/>
        <item x="456"/>
        <item x="62"/>
        <item x="471"/>
        <item x="14"/>
        <item x="392"/>
        <item x="318"/>
        <item x="413"/>
        <item x="144"/>
        <item x="249"/>
        <item x="358"/>
        <item x="373"/>
        <item x="184"/>
        <item x="446"/>
        <item x="469"/>
        <item x="49"/>
        <item x="40"/>
        <item x="388"/>
        <item x="158"/>
        <item x="349"/>
        <item x="336"/>
        <item x="282"/>
        <item x="474"/>
        <item x="210"/>
        <item x="424"/>
        <item x="72"/>
        <item x="443"/>
        <item x="329"/>
        <item x="110"/>
        <item x="213"/>
        <item x="295"/>
        <item x="54"/>
        <item x="389"/>
        <item x="45"/>
        <item x="258"/>
        <item x="440"/>
        <item x="183"/>
        <item x="166"/>
        <item x="108"/>
        <item x="291"/>
        <item x="472"/>
        <item x="451"/>
        <item x="189"/>
        <item x="411"/>
        <item x="470"/>
        <item x="344"/>
        <item x="400"/>
        <item x="180"/>
        <item x="342"/>
        <item x="15"/>
        <item x="240"/>
        <item x="143"/>
        <item x="93"/>
        <item x="196"/>
        <item x="484"/>
        <item x="104"/>
        <item x="466"/>
        <item x="354"/>
        <item x="480"/>
        <item x="28"/>
        <item x="406"/>
        <item x="385"/>
        <item x="79"/>
        <item x="351"/>
        <item x="453"/>
        <item x="195"/>
        <item x="341"/>
        <item x="90"/>
        <item x="257"/>
        <item x="219"/>
        <item x="319"/>
        <item x="238"/>
        <item x="0"/>
        <item x="381"/>
        <item x="374"/>
        <item x="368"/>
        <item x="73"/>
        <item x="117"/>
        <item x="86"/>
        <item x="272"/>
        <item x="23"/>
        <item x="68"/>
        <item x="398"/>
        <item x="162"/>
        <item x="323"/>
        <item x="301"/>
        <item x="437"/>
        <item x="46"/>
        <item x="174"/>
        <item x="165"/>
        <item x="367"/>
        <item x="328"/>
        <item x="296"/>
        <item x="157"/>
        <item x="25"/>
        <item x="70"/>
        <item x="111"/>
        <item x="280"/>
        <item x="185"/>
        <item x="55"/>
        <item x="233"/>
        <item x="78"/>
        <item x="370"/>
        <item x="386"/>
        <item x="156"/>
        <item x="17"/>
        <item x="148"/>
        <item x="310"/>
        <item x="444"/>
        <item x="246"/>
        <item x="211"/>
        <item x="216"/>
        <item x="371"/>
        <item x="139"/>
        <item x="135"/>
        <item x="270"/>
        <item x="34"/>
        <item x="218"/>
        <item x="87"/>
        <item x="18"/>
        <item x="67"/>
        <item x="22"/>
        <item x="220"/>
        <item x="99"/>
        <item x="94"/>
        <item x="137"/>
        <item x="133"/>
        <item x="154"/>
        <item x="379"/>
        <item x="265"/>
        <item x="399"/>
        <item x="10"/>
        <item x="65"/>
        <item x="275"/>
        <item x="284"/>
        <item x="464"/>
        <item x="242"/>
        <item x="205"/>
        <item x="251"/>
        <item x="164"/>
        <item x="348"/>
        <item x="24"/>
        <item x="430"/>
        <item x="59"/>
        <item x="106"/>
        <item x="53"/>
        <item x="222"/>
        <item x="352"/>
        <item x="283"/>
        <item x="339"/>
        <item x="263"/>
        <item x="152"/>
        <item x="452"/>
        <item x="365"/>
        <item x="313"/>
        <item x="414"/>
        <item x="229"/>
        <item x="194"/>
        <item x="333"/>
        <item x="383"/>
        <item x="290"/>
        <item x="89"/>
        <item x="37"/>
        <item x="127"/>
        <item x="266"/>
        <item x="208"/>
        <item x="423"/>
        <item x="241"/>
        <item x="404"/>
        <item x="268"/>
        <item x="416"/>
        <item x="167"/>
        <item x="293"/>
        <item x="465"/>
        <item x="274"/>
        <item x="71"/>
        <item x="425"/>
        <item x="132"/>
        <item x="102"/>
        <item x="407"/>
        <item x="260"/>
        <item x="56"/>
        <item x="347"/>
        <item x="84"/>
        <item x="83"/>
        <item x="455"/>
        <item x="236"/>
        <item x="273"/>
        <item x="175"/>
        <item x="193"/>
        <item x="181"/>
        <item x="101"/>
        <item x="178"/>
        <item x="123"/>
        <item x="277"/>
        <item x="51"/>
        <item x="163"/>
        <item x="435"/>
        <item x="261"/>
        <item x="289"/>
        <item x="80"/>
        <item x="88"/>
        <item x="279"/>
        <item x="126"/>
        <item x="461"/>
        <item x="269"/>
        <item x="38"/>
        <item x="58"/>
        <item x="149"/>
        <item x="146"/>
        <item x="340"/>
        <item x="61"/>
        <item x="76"/>
        <item x="457"/>
        <item x="243"/>
        <item x="271"/>
        <item x="390"/>
        <item x="460"/>
        <item x="393"/>
        <item x="69"/>
        <item x="375"/>
        <item x="408"/>
        <item x="483"/>
        <item x="197"/>
        <item x="256"/>
        <item x="248"/>
        <item x="150"/>
        <item x="190"/>
        <item x="26"/>
        <item x="140"/>
        <item x="43"/>
        <item x="33"/>
        <item x="401"/>
        <item x="415"/>
        <item x="486"/>
        <item x="287"/>
        <item x="331"/>
        <item x="179"/>
        <item x="450"/>
        <item x="431"/>
        <item x="476"/>
        <item x="372"/>
        <item x="454"/>
        <item x="203"/>
        <item x="481"/>
        <item x="311"/>
        <item x="227"/>
        <item x="42"/>
        <item x="462"/>
        <item x="253"/>
        <item x="169"/>
        <item x="239"/>
        <item x="98"/>
        <item x="252"/>
        <item x="308"/>
        <item x="7"/>
        <item x="245"/>
        <item x="463"/>
        <item x="4"/>
        <item x="225"/>
        <item x="433"/>
        <item x="362"/>
        <item x="95"/>
        <item x="100"/>
        <item x="485"/>
        <item x="121"/>
        <item x="438"/>
        <item x="118"/>
        <item x="448"/>
        <item x="201"/>
        <item x="409"/>
        <item x="337"/>
        <item x="292"/>
        <item x="281"/>
        <item x="321"/>
        <item x="247"/>
        <item x="153"/>
        <item x="429"/>
        <item x="478"/>
        <item x="419"/>
        <item x="380"/>
        <item x="343"/>
        <item x="324"/>
        <item x="468"/>
        <item x="276"/>
        <item x="479"/>
        <item x="259"/>
        <item x="207"/>
        <item x="335"/>
        <item x="20"/>
        <item x="298"/>
        <item x="237"/>
        <item x="327"/>
        <item x="171"/>
        <item x="436"/>
        <item x="198"/>
        <item x="314"/>
        <item x="120"/>
        <item x="2"/>
        <item x="66"/>
        <item x="395"/>
        <item x="473"/>
        <item x="138"/>
        <item x="459"/>
        <item x="161"/>
        <item x="125"/>
        <item x="477"/>
        <item x="41"/>
        <item x="159"/>
        <item x="285"/>
        <item x="103"/>
        <item x="31"/>
        <item x="224"/>
        <item x="204"/>
        <item x="309"/>
        <item x="36"/>
        <item x="418"/>
        <item x="57"/>
        <item x="302"/>
        <item x="315"/>
        <item x="172"/>
        <item x="338"/>
        <item x="6"/>
        <item x="170"/>
        <item x="288"/>
        <item x="113"/>
        <item x="105"/>
        <item x="192"/>
        <item x="155"/>
        <item x="231"/>
        <item x="9"/>
        <item x="119"/>
        <item x="114"/>
        <item x="378"/>
        <item x="82"/>
        <item x="92"/>
        <item x="334"/>
        <item x="422"/>
        <item x="60"/>
        <item x="232"/>
        <item x="21"/>
        <item x="97"/>
        <item x="5"/>
        <item x="64"/>
        <item x="382"/>
        <item x="136"/>
        <item x="209"/>
        <item x="397"/>
        <item x="304"/>
        <item x="128"/>
        <item x="130"/>
        <item x="44"/>
        <item x="50"/>
        <item x="384"/>
        <item x="214"/>
        <item x="116"/>
        <item x="441"/>
        <item x="286"/>
        <item x="27"/>
        <item x="85"/>
        <item x="377"/>
        <item x="160"/>
        <item x="12"/>
        <item x="11"/>
        <item x="405"/>
        <item x="81"/>
        <item x="376"/>
        <item x="35"/>
        <item x="303"/>
        <item x="369"/>
        <item x="467"/>
        <item x="403"/>
        <item x="299"/>
        <item x="96"/>
        <item x="306"/>
        <item x="48"/>
        <item x="244"/>
        <item x="230"/>
        <item x="297"/>
        <item t="default"/>
      </items>
    </pivotField>
    <pivotField axis="axisRow" showAll="0">
      <items count="11">
        <item x="4"/>
        <item x="1"/>
        <item x="9"/>
        <item x="2"/>
        <item x="3"/>
        <item x="8"/>
        <item x="6"/>
        <item x="0"/>
        <item x="5"/>
        <item x="7"/>
        <item t="default"/>
      </items>
    </pivotField>
    <pivotField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Wait Time (min)" fld="7" subtotal="average" baseField="4" baseItem="4" numFmtId="167"/>
  </dataFields>
  <formats count="14">
    <format dxfId="65">
      <pivotArea grandRow="1" outline="0" collapsedLevelsAreSubtotals="1" fieldPosition="0"/>
    </format>
    <format dxfId="64">
      <pivotArea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" type="button" dataOnly="0" labelOnly="1" outline="0" axis="axisRow" fieldPosition="0"/>
    </format>
    <format dxfId="60">
      <pivotArea dataOnly="0" labelOnly="1" fieldPosition="0">
        <references count="1">
          <reference field="3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3" type="button" dataOnly="0" labelOnly="1" outline="0" axis="axisRow" fieldPosition="0"/>
    </format>
    <format dxfId="54">
      <pivotArea dataOnly="0" labelOnly="1" fieldPosition="0">
        <references count="1">
          <reference field="3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44BAE-4073-498C-9054-27A97C38B1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Department">
  <location ref="A3:E10" firstHeaderRow="1" firstDataRow="2" firstDataCol="1"/>
  <pivotFields count="10">
    <pivotField dataField="1" showAll="0">
      <items count="4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31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9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showAll="0"/>
    <pivotField numFmtId="165" showAll="0">
      <items count="488">
        <item x="305"/>
        <item x="13"/>
        <item x="357"/>
        <item x="250"/>
        <item x="439"/>
        <item x="107"/>
        <item x="74"/>
        <item x="391"/>
        <item x="122"/>
        <item x="447"/>
        <item x="142"/>
        <item x="394"/>
        <item x="47"/>
        <item x="182"/>
        <item x="420"/>
        <item x="19"/>
        <item x="8"/>
        <item x="109"/>
        <item x="115"/>
        <item x="217"/>
        <item x="151"/>
        <item x="173"/>
        <item x="320"/>
        <item x="360"/>
        <item x="191"/>
        <item x="387"/>
        <item x="200"/>
        <item x="206"/>
        <item x="228"/>
        <item x="223"/>
        <item x="124"/>
        <item x="186"/>
        <item x="300"/>
        <item x="235"/>
        <item x="39"/>
        <item x="147"/>
        <item x="434"/>
        <item x="29"/>
        <item x="427"/>
        <item x="346"/>
        <item x="350"/>
        <item x="52"/>
        <item x="141"/>
        <item x="482"/>
        <item x="226"/>
        <item x="63"/>
        <item x="177"/>
        <item x="254"/>
        <item x="364"/>
        <item x="316"/>
        <item x="77"/>
        <item x="361"/>
        <item x="176"/>
        <item x="262"/>
        <item x="221"/>
        <item x="1"/>
        <item x="428"/>
        <item x="402"/>
        <item x="112"/>
        <item x="255"/>
        <item x="134"/>
        <item x="359"/>
        <item x="410"/>
        <item x="356"/>
        <item x="432"/>
        <item x="412"/>
        <item x="129"/>
        <item x="332"/>
        <item x="215"/>
        <item x="442"/>
        <item x="355"/>
        <item x="353"/>
        <item x="75"/>
        <item x="307"/>
        <item x="3"/>
        <item x="264"/>
        <item x="145"/>
        <item x="278"/>
        <item x="199"/>
        <item x="32"/>
        <item x="312"/>
        <item x="366"/>
        <item x="317"/>
        <item x="294"/>
        <item x="363"/>
        <item x="322"/>
        <item x="330"/>
        <item x="396"/>
        <item x="187"/>
        <item x="16"/>
        <item x="30"/>
        <item x="345"/>
        <item x="188"/>
        <item x="445"/>
        <item x="449"/>
        <item x="458"/>
        <item x="267"/>
        <item x="417"/>
        <item x="202"/>
        <item x="326"/>
        <item x="168"/>
        <item x="421"/>
        <item x="212"/>
        <item x="325"/>
        <item x="426"/>
        <item x="234"/>
        <item x="131"/>
        <item x="475"/>
        <item x="91"/>
        <item x="456"/>
        <item x="62"/>
        <item x="471"/>
        <item x="14"/>
        <item x="392"/>
        <item x="318"/>
        <item x="413"/>
        <item x="144"/>
        <item x="249"/>
        <item x="358"/>
        <item x="373"/>
        <item x="184"/>
        <item x="446"/>
        <item x="469"/>
        <item x="49"/>
        <item x="40"/>
        <item x="388"/>
        <item x="158"/>
        <item x="349"/>
        <item x="336"/>
        <item x="282"/>
        <item x="474"/>
        <item x="210"/>
        <item x="424"/>
        <item x="72"/>
        <item x="443"/>
        <item x="329"/>
        <item x="110"/>
        <item x="213"/>
        <item x="295"/>
        <item x="54"/>
        <item x="389"/>
        <item x="45"/>
        <item x="258"/>
        <item x="440"/>
        <item x="183"/>
        <item x="166"/>
        <item x="108"/>
        <item x="291"/>
        <item x="472"/>
        <item x="451"/>
        <item x="189"/>
        <item x="411"/>
        <item x="470"/>
        <item x="344"/>
        <item x="400"/>
        <item x="180"/>
        <item x="342"/>
        <item x="15"/>
        <item x="240"/>
        <item x="143"/>
        <item x="93"/>
        <item x="196"/>
        <item x="484"/>
        <item x="104"/>
        <item x="466"/>
        <item x="354"/>
        <item x="480"/>
        <item x="28"/>
        <item x="406"/>
        <item x="385"/>
        <item x="79"/>
        <item x="351"/>
        <item x="453"/>
        <item x="195"/>
        <item x="341"/>
        <item x="90"/>
        <item x="257"/>
        <item x="219"/>
        <item x="319"/>
        <item x="238"/>
        <item x="0"/>
        <item x="381"/>
        <item x="374"/>
        <item x="368"/>
        <item x="73"/>
        <item x="117"/>
        <item x="86"/>
        <item x="272"/>
        <item x="23"/>
        <item x="68"/>
        <item x="398"/>
        <item x="162"/>
        <item x="323"/>
        <item x="301"/>
        <item x="437"/>
        <item x="46"/>
        <item x="174"/>
        <item x="165"/>
        <item x="367"/>
        <item x="328"/>
        <item x="296"/>
        <item x="157"/>
        <item x="25"/>
        <item x="70"/>
        <item x="111"/>
        <item x="280"/>
        <item x="185"/>
        <item x="55"/>
        <item x="233"/>
        <item x="78"/>
        <item x="370"/>
        <item x="386"/>
        <item x="156"/>
        <item x="17"/>
        <item x="148"/>
        <item x="310"/>
        <item x="444"/>
        <item x="246"/>
        <item x="211"/>
        <item x="216"/>
        <item x="371"/>
        <item x="139"/>
        <item x="135"/>
        <item x="270"/>
        <item x="34"/>
        <item x="218"/>
        <item x="87"/>
        <item x="18"/>
        <item x="67"/>
        <item x="22"/>
        <item x="220"/>
        <item x="99"/>
        <item x="94"/>
        <item x="137"/>
        <item x="133"/>
        <item x="154"/>
        <item x="379"/>
        <item x="265"/>
        <item x="399"/>
        <item x="10"/>
        <item x="65"/>
        <item x="275"/>
        <item x="284"/>
        <item x="464"/>
        <item x="242"/>
        <item x="205"/>
        <item x="251"/>
        <item x="164"/>
        <item x="348"/>
        <item x="24"/>
        <item x="430"/>
        <item x="59"/>
        <item x="106"/>
        <item x="53"/>
        <item x="222"/>
        <item x="352"/>
        <item x="283"/>
        <item x="339"/>
        <item x="263"/>
        <item x="152"/>
        <item x="452"/>
        <item x="365"/>
        <item x="313"/>
        <item x="414"/>
        <item x="229"/>
        <item x="194"/>
        <item x="333"/>
        <item x="383"/>
        <item x="290"/>
        <item x="89"/>
        <item x="37"/>
        <item x="127"/>
        <item x="266"/>
        <item x="208"/>
        <item x="423"/>
        <item x="241"/>
        <item x="404"/>
        <item x="268"/>
        <item x="416"/>
        <item x="167"/>
        <item x="293"/>
        <item x="465"/>
        <item x="274"/>
        <item x="71"/>
        <item x="425"/>
        <item x="132"/>
        <item x="102"/>
        <item x="407"/>
        <item x="260"/>
        <item x="56"/>
        <item x="347"/>
        <item x="84"/>
        <item x="83"/>
        <item x="455"/>
        <item x="236"/>
        <item x="273"/>
        <item x="175"/>
        <item x="193"/>
        <item x="181"/>
        <item x="101"/>
        <item x="178"/>
        <item x="123"/>
        <item x="277"/>
        <item x="51"/>
        <item x="163"/>
        <item x="435"/>
        <item x="261"/>
        <item x="289"/>
        <item x="80"/>
        <item x="88"/>
        <item x="279"/>
        <item x="126"/>
        <item x="461"/>
        <item x="269"/>
        <item x="38"/>
        <item x="58"/>
        <item x="149"/>
        <item x="146"/>
        <item x="340"/>
        <item x="61"/>
        <item x="76"/>
        <item x="457"/>
        <item x="243"/>
        <item x="271"/>
        <item x="390"/>
        <item x="460"/>
        <item x="393"/>
        <item x="69"/>
        <item x="375"/>
        <item x="408"/>
        <item x="483"/>
        <item x="197"/>
        <item x="256"/>
        <item x="248"/>
        <item x="150"/>
        <item x="190"/>
        <item x="26"/>
        <item x="140"/>
        <item x="43"/>
        <item x="33"/>
        <item x="401"/>
        <item x="415"/>
        <item x="486"/>
        <item x="287"/>
        <item x="331"/>
        <item x="179"/>
        <item x="450"/>
        <item x="431"/>
        <item x="476"/>
        <item x="372"/>
        <item x="454"/>
        <item x="203"/>
        <item x="481"/>
        <item x="311"/>
        <item x="227"/>
        <item x="42"/>
        <item x="462"/>
        <item x="253"/>
        <item x="169"/>
        <item x="239"/>
        <item x="98"/>
        <item x="252"/>
        <item x="308"/>
        <item x="7"/>
        <item x="245"/>
        <item x="463"/>
        <item x="4"/>
        <item x="225"/>
        <item x="433"/>
        <item x="362"/>
        <item x="95"/>
        <item x="100"/>
        <item x="485"/>
        <item x="121"/>
        <item x="438"/>
        <item x="118"/>
        <item x="448"/>
        <item x="201"/>
        <item x="409"/>
        <item x="337"/>
        <item x="292"/>
        <item x="281"/>
        <item x="321"/>
        <item x="247"/>
        <item x="153"/>
        <item x="429"/>
        <item x="478"/>
        <item x="419"/>
        <item x="380"/>
        <item x="343"/>
        <item x="324"/>
        <item x="468"/>
        <item x="276"/>
        <item x="479"/>
        <item x="259"/>
        <item x="207"/>
        <item x="335"/>
        <item x="20"/>
        <item x="298"/>
        <item x="237"/>
        <item x="327"/>
        <item x="171"/>
        <item x="436"/>
        <item x="198"/>
        <item x="314"/>
        <item x="120"/>
        <item x="2"/>
        <item x="66"/>
        <item x="395"/>
        <item x="473"/>
        <item x="138"/>
        <item x="459"/>
        <item x="161"/>
        <item x="125"/>
        <item x="477"/>
        <item x="41"/>
        <item x="159"/>
        <item x="285"/>
        <item x="103"/>
        <item x="31"/>
        <item x="224"/>
        <item x="204"/>
        <item x="309"/>
        <item x="36"/>
        <item x="418"/>
        <item x="57"/>
        <item x="302"/>
        <item x="315"/>
        <item x="172"/>
        <item x="338"/>
        <item x="6"/>
        <item x="170"/>
        <item x="288"/>
        <item x="113"/>
        <item x="105"/>
        <item x="192"/>
        <item x="155"/>
        <item x="231"/>
        <item x="9"/>
        <item x="119"/>
        <item x="114"/>
        <item x="378"/>
        <item x="82"/>
        <item x="92"/>
        <item x="334"/>
        <item x="422"/>
        <item x="60"/>
        <item x="232"/>
        <item x="21"/>
        <item x="97"/>
        <item x="5"/>
        <item x="64"/>
        <item x="382"/>
        <item x="136"/>
        <item x="209"/>
        <item x="397"/>
        <item x="304"/>
        <item x="128"/>
        <item x="130"/>
        <item x="44"/>
        <item x="50"/>
        <item x="384"/>
        <item x="214"/>
        <item x="116"/>
        <item x="441"/>
        <item x="286"/>
        <item x="27"/>
        <item x="85"/>
        <item x="377"/>
        <item x="160"/>
        <item x="12"/>
        <item x="11"/>
        <item x="405"/>
        <item x="81"/>
        <item x="376"/>
        <item x="35"/>
        <item x="303"/>
        <item x="369"/>
        <item x="467"/>
        <item x="403"/>
        <item x="299"/>
        <item x="96"/>
        <item x="306"/>
        <item x="48"/>
        <item x="244"/>
        <item x="230"/>
        <item x="297"/>
        <item t="default"/>
      </items>
    </pivotField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ppointment ID" fld="0" subtotal="count" baseField="0" baseItem="0"/>
  </dataFields>
  <formats count="20"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6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4" type="button" dataOnly="0" labelOnly="1" outline="0" axis="axisRow" fieldPosition="0"/>
    </format>
    <format dxfId="79">
      <pivotArea dataOnly="0" labelOnly="1" fieldPosition="0">
        <references count="1">
          <reference field="4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6" count="0"/>
        </references>
      </pivotArea>
    </format>
    <format dxfId="76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6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4" type="button" dataOnly="0" labelOnly="1" outline="0" axis="axisRow" fieldPosition="0"/>
    </format>
    <format dxfId="69">
      <pivotArea dataOnly="0" labelOnly="1" fieldPosition="0">
        <references count="1">
          <reference field="4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6" count="0"/>
        </references>
      </pivotArea>
    </format>
    <format dxfId="66">
      <pivotArea dataOnly="0" labelOnly="1" grandCol="1" outline="0" fieldPosition="0"/>
    </format>
  </formats>
  <chartFormats count="6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6D2F2-CDD8-4D56-A9B8-37C2C8C75DAC}" name="PivotTable2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K9:BO15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ppointment ID" fld="2" subtotal="count" baseField="0" baseItem="0"/>
  </dataFields>
  <formats count="20"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1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0" type="button" dataOnly="0" labelOnly="1" outline="0" axis="axisRow" fieldPosition="0"/>
    </format>
    <format dxfId="99">
      <pivotArea dataOnly="0" labelOnly="1" fieldPosition="0">
        <references count="1">
          <reference field="0" count="0"/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1">
          <reference field="1" count="0"/>
        </references>
      </pivotArea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1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0" type="button" dataOnly="0" labelOnly="1" outline="0" axis="axisRow" fieldPosition="0"/>
    </format>
    <format dxfId="89">
      <pivotArea dataOnly="0" labelOnly="1" fieldPosition="0">
        <references count="1">
          <reference field="0" count="0"/>
        </references>
      </pivotArea>
    </format>
    <format dxfId="88">
      <pivotArea dataOnly="0" labelOnly="1" grandRow="1" outline="0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Col="1" outline="0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6155D-1D55-408C-AC32-2862419E12A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5:Q16" firstHeaderRow="1" firstDataRow="1" firstDataCol="1" rowPageCount="1" colPageCount="1"/>
  <pivotFields count="10">
    <pivotField showAll="0"/>
    <pivotField showAll="0"/>
    <pivotField numFmtId="165" showAll="0">
      <items count="488">
        <item x="305"/>
        <item x="13"/>
        <item x="357"/>
        <item x="250"/>
        <item x="439"/>
        <item x="107"/>
        <item x="74"/>
        <item x="391"/>
        <item x="122"/>
        <item x="447"/>
        <item x="142"/>
        <item x="394"/>
        <item x="47"/>
        <item x="182"/>
        <item x="420"/>
        <item x="19"/>
        <item x="8"/>
        <item x="109"/>
        <item x="115"/>
        <item x="217"/>
        <item x="151"/>
        <item x="173"/>
        <item x="320"/>
        <item x="360"/>
        <item x="191"/>
        <item x="387"/>
        <item x="200"/>
        <item x="206"/>
        <item x="228"/>
        <item x="223"/>
        <item x="124"/>
        <item x="186"/>
        <item x="300"/>
        <item x="235"/>
        <item x="39"/>
        <item x="147"/>
        <item x="434"/>
        <item x="29"/>
        <item x="427"/>
        <item x="346"/>
        <item x="350"/>
        <item x="52"/>
        <item x="141"/>
        <item x="482"/>
        <item x="226"/>
        <item x="63"/>
        <item x="177"/>
        <item x="254"/>
        <item x="364"/>
        <item x="316"/>
        <item x="77"/>
        <item x="361"/>
        <item x="176"/>
        <item x="262"/>
        <item x="221"/>
        <item x="1"/>
        <item x="428"/>
        <item x="402"/>
        <item x="112"/>
        <item x="255"/>
        <item x="134"/>
        <item x="359"/>
        <item x="410"/>
        <item x="356"/>
        <item x="432"/>
        <item x="412"/>
        <item x="129"/>
        <item x="332"/>
        <item x="215"/>
        <item x="442"/>
        <item x="355"/>
        <item x="353"/>
        <item x="75"/>
        <item x="307"/>
        <item x="3"/>
        <item x="264"/>
        <item x="145"/>
        <item x="278"/>
        <item x="199"/>
        <item x="32"/>
        <item x="312"/>
        <item x="366"/>
        <item x="317"/>
        <item x="294"/>
        <item x="363"/>
        <item x="322"/>
        <item x="330"/>
        <item x="396"/>
        <item x="187"/>
        <item x="16"/>
        <item x="30"/>
        <item x="345"/>
        <item x="188"/>
        <item x="445"/>
        <item x="449"/>
        <item x="458"/>
        <item x="267"/>
        <item x="417"/>
        <item x="202"/>
        <item x="326"/>
        <item x="168"/>
        <item x="421"/>
        <item x="212"/>
        <item x="325"/>
        <item x="426"/>
        <item x="234"/>
        <item x="131"/>
        <item x="475"/>
        <item x="91"/>
        <item x="456"/>
        <item x="62"/>
        <item x="471"/>
        <item x="14"/>
        <item x="392"/>
        <item x="318"/>
        <item x="413"/>
        <item x="144"/>
        <item x="249"/>
        <item x="358"/>
        <item x="373"/>
        <item x="184"/>
        <item x="446"/>
        <item x="469"/>
        <item x="49"/>
        <item x="40"/>
        <item x="388"/>
        <item x="158"/>
        <item x="349"/>
        <item x="336"/>
        <item x="282"/>
        <item x="474"/>
        <item x="210"/>
        <item x="424"/>
        <item x="72"/>
        <item x="443"/>
        <item x="329"/>
        <item x="110"/>
        <item x="213"/>
        <item x="295"/>
        <item x="54"/>
        <item x="389"/>
        <item x="45"/>
        <item x="258"/>
        <item x="440"/>
        <item x="183"/>
        <item x="166"/>
        <item x="108"/>
        <item x="291"/>
        <item x="472"/>
        <item x="451"/>
        <item x="189"/>
        <item x="411"/>
        <item x="470"/>
        <item x="344"/>
        <item x="400"/>
        <item x="180"/>
        <item x="342"/>
        <item x="15"/>
        <item x="240"/>
        <item x="143"/>
        <item x="93"/>
        <item x="196"/>
        <item x="484"/>
        <item x="104"/>
        <item x="466"/>
        <item x="354"/>
        <item x="480"/>
        <item x="28"/>
        <item x="406"/>
        <item x="385"/>
        <item x="79"/>
        <item x="351"/>
        <item x="453"/>
        <item x="195"/>
        <item x="341"/>
        <item x="90"/>
        <item x="257"/>
        <item x="219"/>
        <item x="319"/>
        <item x="238"/>
        <item x="0"/>
        <item x="381"/>
        <item x="374"/>
        <item x="368"/>
        <item x="73"/>
        <item x="117"/>
        <item x="86"/>
        <item x="272"/>
        <item x="23"/>
        <item x="68"/>
        <item x="398"/>
        <item x="162"/>
        <item x="323"/>
        <item x="301"/>
        <item x="437"/>
        <item x="46"/>
        <item x="174"/>
        <item x="165"/>
        <item x="367"/>
        <item x="328"/>
        <item x="296"/>
        <item x="157"/>
        <item x="25"/>
        <item x="70"/>
        <item x="111"/>
        <item x="280"/>
        <item x="185"/>
        <item x="55"/>
        <item x="233"/>
        <item x="78"/>
        <item x="370"/>
        <item x="386"/>
        <item x="156"/>
        <item x="17"/>
        <item x="148"/>
        <item x="310"/>
        <item x="444"/>
        <item x="246"/>
        <item x="211"/>
        <item x="216"/>
        <item x="371"/>
        <item x="139"/>
        <item x="135"/>
        <item x="270"/>
        <item x="34"/>
        <item x="218"/>
        <item x="87"/>
        <item x="18"/>
        <item x="67"/>
        <item x="22"/>
        <item x="220"/>
        <item x="99"/>
        <item x="94"/>
        <item x="137"/>
        <item x="133"/>
        <item x="154"/>
        <item x="379"/>
        <item x="265"/>
        <item x="399"/>
        <item x="10"/>
        <item x="65"/>
        <item x="275"/>
        <item x="284"/>
        <item x="464"/>
        <item x="242"/>
        <item x="205"/>
        <item x="251"/>
        <item x="164"/>
        <item x="348"/>
        <item x="24"/>
        <item x="430"/>
        <item x="59"/>
        <item x="106"/>
        <item x="53"/>
        <item x="222"/>
        <item x="352"/>
        <item x="283"/>
        <item x="339"/>
        <item x="263"/>
        <item x="152"/>
        <item x="452"/>
        <item x="365"/>
        <item x="313"/>
        <item x="414"/>
        <item x="229"/>
        <item x="194"/>
        <item x="333"/>
        <item x="383"/>
        <item x="290"/>
        <item x="89"/>
        <item x="37"/>
        <item x="127"/>
        <item x="266"/>
        <item x="208"/>
        <item x="423"/>
        <item x="241"/>
        <item x="404"/>
        <item x="268"/>
        <item x="416"/>
        <item x="167"/>
        <item x="293"/>
        <item x="465"/>
        <item x="274"/>
        <item x="71"/>
        <item x="425"/>
        <item x="132"/>
        <item x="102"/>
        <item x="407"/>
        <item x="260"/>
        <item x="56"/>
        <item x="347"/>
        <item x="84"/>
        <item x="83"/>
        <item x="455"/>
        <item x="236"/>
        <item x="273"/>
        <item x="175"/>
        <item x="193"/>
        <item x="181"/>
        <item x="101"/>
        <item x="178"/>
        <item x="123"/>
        <item x="277"/>
        <item x="51"/>
        <item x="163"/>
        <item x="435"/>
        <item x="261"/>
        <item x="289"/>
        <item x="80"/>
        <item x="88"/>
        <item x="279"/>
        <item x="126"/>
        <item x="461"/>
        <item x="269"/>
        <item x="38"/>
        <item x="58"/>
        <item x="149"/>
        <item x="146"/>
        <item x="340"/>
        <item x="61"/>
        <item x="76"/>
        <item x="457"/>
        <item x="243"/>
        <item x="271"/>
        <item x="390"/>
        <item x="460"/>
        <item x="393"/>
        <item x="69"/>
        <item x="375"/>
        <item x="408"/>
        <item x="483"/>
        <item x="197"/>
        <item x="256"/>
        <item x="248"/>
        <item x="150"/>
        <item x="190"/>
        <item x="26"/>
        <item x="140"/>
        <item x="43"/>
        <item x="33"/>
        <item x="401"/>
        <item x="415"/>
        <item x="486"/>
        <item x="287"/>
        <item x="331"/>
        <item x="179"/>
        <item x="450"/>
        <item x="431"/>
        <item x="476"/>
        <item x="372"/>
        <item x="454"/>
        <item x="203"/>
        <item x="481"/>
        <item x="311"/>
        <item x="227"/>
        <item x="42"/>
        <item x="462"/>
        <item x="253"/>
        <item x="169"/>
        <item x="239"/>
        <item x="98"/>
        <item x="252"/>
        <item x="308"/>
        <item x="7"/>
        <item x="245"/>
        <item x="463"/>
        <item x="4"/>
        <item x="225"/>
        <item x="433"/>
        <item x="362"/>
        <item x="95"/>
        <item x="100"/>
        <item x="485"/>
        <item x="121"/>
        <item x="438"/>
        <item x="118"/>
        <item x="448"/>
        <item x="201"/>
        <item x="409"/>
        <item x="337"/>
        <item x="292"/>
        <item x="281"/>
        <item x="321"/>
        <item x="247"/>
        <item x="153"/>
        <item x="429"/>
        <item x="478"/>
        <item x="419"/>
        <item x="380"/>
        <item x="343"/>
        <item x="324"/>
        <item x="468"/>
        <item x="276"/>
        <item x="479"/>
        <item x="259"/>
        <item x="207"/>
        <item x="335"/>
        <item x="20"/>
        <item x="298"/>
        <item x="237"/>
        <item x="327"/>
        <item x="171"/>
        <item x="436"/>
        <item x="198"/>
        <item x="314"/>
        <item x="120"/>
        <item x="2"/>
        <item x="66"/>
        <item x="395"/>
        <item x="473"/>
        <item x="138"/>
        <item x="459"/>
        <item x="161"/>
        <item x="125"/>
        <item x="477"/>
        <item x="41"/>
        <item x="159"/>
        <item x="285"/>
        <item x="103"/>
        <item x="31"/>
        <item x="224"/>
        <item x="204"/>
        <item x="309"/>
        <item x="36"/>
        <item x="418"/>
        <item x="57"/>
        <item x="302"/>
        <item x="315"/>
        <item x="172"/>
        <item x="338"/>
        <item x="6"/>
        <item x="170"/>
        <item x="288"/>
        <item x="113"/>
        <item x="105"/>
        <item x="192"/>
        <item x="155"/>
        <item x="231"/>
        <item x="9"/>
        <item x="119"/>
        <item x="114"/>
        <item x="378"/>
        <item x="82"/>
        <item x="92"/>
        <item x="334"/>
        <item x="422"/>
        <item x="60"/>
        <item x="232"/>
        <item x="21"/>
        <item x="97"/>
        <item x="5"/>
        <item x="64"/>
        <item x="382"/>
        <item x="136"/>
        <item x="209"/>
        <item x="397"/>
        <item x="304"/>
        <item x="128"/>
        <item x="130"/>
        <item x="44"/>
        <item x="50"/>
        <item x="384"/>
        <item x="214"/>
        <item x="116"/>
        <item x="441"/>
        <item x="286"/>
        <item x="27"/>
        <item x="85"/>
        <item x="377"/>
        <item x="160"/>
        <item x="12"/>
        <item x="11"/>
        <item x="405"/>
        <item x="81"/>
        <item x="376"/>
        <item x="35"/>
        <item x="303"/>
        <item x="369"/>
        <item x="467"/>
        <item x="403"/>
        <item x="299"/>
        <item x="96"/>
        <item x="306"/>
        <item x="48"/>
        <item x="244"/>
        <item x="230"/>
        <item x="297"/>
        <item t="default"/>
      </items>
    </pivotField>
    <pivotField axis="axisRow" showAll="0">
      <items count="11">
        <item x="4"/>
        <item x="1"/>
        <item x="9"/>
        <item x="2"/>
        <item x="3"/>
        <item x="8"/>
        <item x="6"/>
        <item x="0"/>
        <item x="5"/>
        <item x="7"/>
        <item t="default"/>
      </items>
    </pivotField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6" item="1" hier="-1"/>
  </pageFields>
  <dataFields count="1">
    <dataField name="Sum of Fee" fld="8" baseField="3" baseItem="0"/>
  </dataFields>
  <formats count="12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3" type="button" dataOnly="0" labelOnly="1" outline="0" axis="axisRow" fieldPosition="0"/>
    </format>
    <format dxfId="114">
      <pivotArea dataOnly="0" labelOnly="1" fieldPosition="0">
        <references count="1">
          <reference field="3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3" type="button" dataOnly="0" labelOnly="1" outline="0" axis="axisRow" fieldPosition="0"/>
    </format>
    <format dxfId="108">
      <pivotArea dataOnly="0" labelOnly="1" fieldPosition="0">
        <references count="1">
          <reference field="3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0C1D8-C072-4044-98DC-D108EFEC692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W494" firstHeaderRow="1" firstDataRow="2" firstDataCol="1"/>
  <pivotFields count="10">
    <pivotField dataField="1" showAll="0"/>
    <pivotField showAll="0"/>
    <pivotField axis="axisRow" numFmtId="165" showAll="0">
      <items count="488">
        <item x="305"/>
        <item x="13"/>
        <item x="357"/>
        <item x="250"/>
        <item x="439"/>
        <item x="107"/>
        <item x="74"/>
        <item x="391"/>
        <item x="122"/>
        <item x="447"/>
        <item x="142"/>
        <item x="394"/>
        <item x="47"/>
        <item x="182"/>
        <item x="420"/>
        <item x="19"/>
        <item x="8"/>
        <item x="109"/>
        <item x="115"/>
        <item x="217"/>
        <item x="151"/>
        <item x="173"/>
        <item x="320"/>
        <item x="360"/>
        <item x="191"/>
        <item x="387"/>
        <item x="200"/>
        <item x="206"/>
        <item x="228"/>
        <item x="223"/>
        <item x="124"/>
        <item x="186"/>
        <item x="300"/>
        <item x="235"/>
        <item x="39"/>
        <item x="147"/>
        <item x="434"/>
        <item x="29"/>
        <item x="427"/>
        <item x="346"/>
        <item x="350"/>
        <item x="52"/>
        <item x="141"/>
        <item x="482"/>
        <item x="226"/>
        <item x="63"/>
        <item x="177"/>
        <item x="254"/>
        <item x="364"/>
        <item x="316"/>
        <item x="77"/>
        <item x="361"/>
        <item x="176"/>
        <item x="262"/>
        <item x="221"/>
        <item x="1"/>
        <item x="428"/>
        <item x="402"/>
        <item x="112"/>
        <item x="255"/>
        <item x="134"/>
        <item x="359"/>
        <item x="410"/>
        <item x="356"/>
        <item x="432"/>
        <item x="412"/>
        <item x="129"/>
        <item x="332"/>
        <item x="215"/>
        <item x="442"/>
        <item x="355"/>
        <item x="353"/>
        <item x="75"/>
        <item x="307"/>
        <item x="3"/>
        <item x="264"/>
        <item x="145"/>
        <item x="278"/>
        <item x="199"/>
        <item x="32"/>
        <item x="312"/>
        <item x="366"/>
        <item x="317"/>
        <item x="294"/>
        <item x="363"/>
        <item x="322"/>
        <item x="330"/>
        <item x="396"/>
        <item x="187"/>
        <item x="16"/>
        <item x="30"/>
        <item x="345"/>
        <item x="188"/>
        <item x="445"/>
        <item x="449"/>
        <item x="458"/>
        <item x="267"/>
        <item x="417"/>
        <item x="202"/>
        <item x="326"/>
        <item x="168"/>
        <item x="421"/>
        <item x="212"/>
        <item x="325"/>
        <item x="426"/>
        <item x="234"/>
        <item x="131"/>
        <item x="475"/>
        <item x="91"/>
        <item x="456"/>
        <item x="62"/>
        <item x="471"/>
        <item x="14"/>
        <item x="392"/>
        <item x="318"/>
        <item x="413"/>
        <item x="144"/>
        <item x="249"/>
        <item x="358"/>
        <item x="373"/>
        <item x="184"/>
        <item x="446"/>
        <item x="469"/>
        <item x="49"/>
        <item x="40"/>
        <item x="388"/>
        <item x="158"/>
        <item x="349"/>
        <item x="336"/>
        <item x="282"/>
        <item x="474"/>
        <item x="210"/>
        <item x="424"/>
        <item x="72"/>
        <item x="443"/>
        <item x="329"/>
        <item x="110"/>
        <item x="213"/>
        <item x="295"/>
        <item x="54"/>
        <item x="389"/>
        <item x="45"/>
        <item x="258"/>
        <item x="440"/>
        <item x="183"/>
        <item x="166"/>
        <item x="108"/>
        <item x="291"/>
        <item x="472"/>
        <item x="451"/>
        <item x="189"/>
        <item x="411"/>
        <item x="470"/>
        <item x="344"/>
        <item x="400"/>
        <item x="180"/>
        <item x="342"/>
        <item x="15"/>
        <item x="240"/>
        <item x="143"/>
        <item x="93"/>
        <item x="196"/>
        <item x="484"/>
        <item x="104"/>
        <item x="466"/>
        <item x="354"/>
        <item x="480"/>
        <item x="28"/>
        <item x="406"/>
        <item x="385"/>
        <item x="79"/>
        <item x="351"/>
        <item x="453"/>
        <item x="195"/>
        <item x="341"/>
        <item x="90"/>
        <item x="257"/>
        <item x="219"/>
        <item x="319"/>
        <item x="238"/>
        <item x="0"/>
        <item x="381"/>
        <item x="374"/>
        <item x="368"/>
        <item x="73"/>
        <item x="117"/>
        <item x="86"/>
        <item x="272"/>
        <item x="23"/>
        <item x="68"/>
        <item x="398"/>
        <item x="162"/>
        <item x="323"/>
        <item x="301"/>
        <item x="437"/>
        <item x="46"/>
        <item x="174"/>
        <item x="165"/>
        <item x="367"/>
        <item x="328"/>
        <item x="296"/>
        <item x="157"/>
        <item x="25"/>
        <item x="70"/>
        <item x="111"/>
        <item x="280"/>
        <item x="185"/>
        <item x="55"/>
        <item x="233"/>
        <item x="78"/>
        <item x="370"/>
        <item x="386"/>
        <item x="156"/>
        <item x="17"/>
        <item x="148"/>
        <item x="310"/>
        <item x="444"/>
        <item x="246"/>
        <item x="211"/>
        <item x="216"/>
        <item x="371"/>
        <item x="139"/>
        <item x="135"/>
        <item x="270"/>
        <item x="34"/>
        <item x="218"/>
        <item x="87"/>
        <item x="18"/>
        <item x="67"/>
        <item x="22"/>
        <item x="220"/>
        <item x="99"/>
        <item x="94"/>
        <item x="137"/>
        <item x="133"/>
        <item x="154"/>
        <item x="379"/>
        <item x="265"/>
        <item x="399"/>
        <item x="10"/>
        <item x="65"/>
        <item x="275"/>
        <item x="284"/>
        <item x="464"/>
        <item x="242"/>
        <item x="205"/>
        <item x="251"/>
        <item x="164"/>
        <item x="348"/>
        <item x="24"/>
        <item x="430"/>
        <item x="59"/>
        <item x="106"/>
        <item x="53"/>
        <item x="222"/>
        <item x="352"/>
        <item x="283"/>
        <item x="339"/>
        <item x="263"/>
        <item x="152"/>
        <item x="452"/>
        <item x="365"/>
        <item x="313"/>
        <item x="414"/>
        <item x="229"/>
        <item x="194"/>
        <item x="333"/>
        <item x="383"/>
        <item x="290"/>
        <item x="89"/>
        <item x="37"/>
        <item x="127"/>
        <item x="266"/>
        <item x="208"/>
        <item x="423"/>
        <item x="241"/>
        <item x="404"/>
        <item x="268"/>
        <item x="416"/>
        <item x="167"/>
        <item x="293"/>
        <item x="465"/>
        <item x="274"/>
        <item x="71"/>
        <item x="425"/>
        <item x="132"/>
        <item x="102"/>
        <item x="407"/>
        <item x="260"/>
        <item x="56"/>
        <item x="347"/>
        <item x="84"/>
        <item x="83"/>
        <item x="455"/>
        <item x="236"/>
        <item x="273"/>
        <item x="175"/>
        <item x="193"/>
        <item x="181"/>
        <item x="101"/>
        <item x="178"/>
        <item x="123"/>
        <item x="277"/>
        <item x="51"/>
        <item x="163"/>
        <item x="435"/>
        <item x="261"/>
        <item x="289"/>
        <item x="80"/>
        <item x="88"/>
        <item x="279"/>
        <item x="126"/>
        <item x="461"/>
        <item x="269"/>
        <item x="38"/>
        <item x="58"/>
        <item x="149"/>
        <item x="146"/>
        <item x="340"/>
        <item x="61"/>
        <item x="76"/>
        <item x="457"/>
        <item x="243"/>
        <item x="271"/>
        <item x="390"/>
        <item x="460"/>
        <item x="393"/>
        <item x="69"/>
        <item x="375"/>
        <item x="408"/>
        <item x="483"/>
        <item x="197"/>
        <item x="256"/>
        <item x="248"/>
        <item x="150"/>
        <item x="190"/>
        <item x="26"/>
        <item x="140"/>
        <item x="43"/>
        <item x="33"/>
        <item x="401"/>
        <item x="415"/>
        <item x="486"/>
        <item x="287"/>
        <item x="331"/>
        <item x="179"/>
        <item x="450"/>
        <item x="431"/>
        <item x="476"/>
        <item x="372"/>
        <item x="454"/>
        <item x="203"/>
        <item x="481"/>
        <item x="311"/>
        <item x="227"/>
        <item x="42"/>
        <item x="462"/>
        <item x="253"/>
        <item x="169"/>
        <item x="239"/>
        <item x="98"/>
        <item x="252"/>
        <item x="308"/>
        <item x="7"/>
        <item x="245"/>
        <item x="463"/>
        <item x="4"/>
        <item x="225"/>
        <item x="433"/>
        <item x="362"/>
        <item x="95"/>
        <item x="100"/>
        <item x="485"/>
        <item x="121"/>
        <item x="438"/>
        <item x="118"/>
        <item x="448"/>
        <item x="201"/>
        <item x="409"/>
        <item x="337"/>
        <item x="292"/>
        <item x="281"/>
        <item x="321"/>
        <item x="247"/>
        <item x="153"/>
        <item x="429"/>
        <item x="478"/>
        <item x="419"/>
        <item x="380"/>
        <item x="343"/>
        <item x="324"/>
        <item x="468"/>
        <item x="276"/>
        <item x="479"/>
        <item x="259"/>
        <item x="207"/>
        <item x="335"/>
        <item x="20"/>
        <item x="298"/>
        <item x="237"/>
        <item x="327"/>
        <item x="171"/>
        <item x="436"/>
        <item x="198"/>
        <item x="314"/>
        <item x="120"/>
        <item x="2"/>
        <item x="66"/>
        <item x="395"/>
        <item x="473"/>
        <item x="138"/>
        <item x="459"/>
        <item x="161"/>
        <item x="125"/>
        <item x="477"/>
        <item x="41"/>
        <item x="159"/>
        <item x="285"/>
        <item x="103"/>
        <item x="31"/>
        <item x="224"/>
        <item x="204"/>
        <item x="309"/>
        <item x="36"/>
        <item x="418"/>
        <item x="57"/>
        <item x="302"/>
        <item x="315"/>
        <item x="172"/>
        <item x="338"/>
        <item x="6"/>
        <item x="170"/>
        <item x="288"/>
        <item x="113"/>
        <item x="105"/>
        <item x="192"/>
        <item x="155"/>
        <item x="231"/>
        <item x="9"/>
        <item x="119"/>
        <item x="114"/>
        <item x="378"/>
        <item x="82"/>
        <item x="92"/>
        <item x="334"/>
        <item x="422"/>
        <item x="60"/>
        <item x="232"/>
        <item x="21"/>
        <item x="97"/>
        <item x="5"/>
        <item x="64"/>
        <item x="382"/>
        <item x="136"/>
        <item x="209"/>
        <item x="397"/>
        <item x="304"/>
        <item x="128"/>
        <item x="130"/>
        <item x="44"/>
        <item x="50"/>
        <item x="384"/>
        <item x="214"/>
        <item x="116"/>
        <item x="441"/>
        <item x="286"/>
        <item x="27"/>
        <item x="85"/>
        <item x="377"/>
        <item x="160"/>
        <item x="12"/>
        <item x="11"/>
        <item x="405"/>
        <item x="81"/>
        <item x="376"/>
        <item x="35"/>
        <item x="303"/>
        <item x="369"/>
        <item x="467"/>
        <item x="403"/>
        <item x="299"/>
        <item x="96"/>
        <item x="306"/>
        <item x="48"/>
        <item x="244"/>
        <item x="230"/>
        <item x="297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2"/>
  </rowFields>
  <rowItems count="4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ppointment ID" fld="0" subtotal="count" baseField="0" baseItem="0"/>
  </dataFields>
  <formats count="38">
    <format dxfId="155">
      <pivotArea type="all" dataOnly="0" outline="0" fieldPosition="0"/>
    </format>
    <format dxfId="154">
      <pivotArea outline="0" collapsedLevelsAreSubtotals="1" fieldPosition="0"/>
    </format>
    <format dxfId="153">
      <pivotArea type="origin" dataOnly="0" labelOnly="1" outline="0" fieldPosition="0"/>
    </format>
    <format dxfId="152">
      <pivotArea field="6" type="button" dataOnly="0" labelOnly="1" outline="0" axis="axisCol" fieldPosition="0"/>
    </format>
    <format dxfId="151">
      <pivotArea type="topRight" dataOnly="0" labelOnly="1" outline="0" fieldPosition="0"/>
    </format>
    <format dxfId="150">
      <pivotArea field="2" type="button" dataOnly="0" labelOnly="1" outline="0" axis="axisRow" fieldPosition="0"/>
    </format>
    <format dxfId="149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8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7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6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5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4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43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2">
      <pivotArea dataOnly="0" labelOnly="1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41">
      <pivotArea dataOnly="0" labelOnly="1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40">
      <pivotArea dataOnly="0" labelOnly="1" fieldPosition="0">
        <references count="1">
          <reference field="2" count="37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</reference>
        </references>
      </pivotArea>
    </format>
    <format dxfId="139">
      <pivotArea dataOnly="0" labelOnly="1" grandRow="1" outline="0" fieldPosition="0"/>
    </format>
    <format dxfId="138">
      <pivotArea dataOnly="0" labelOnly="1" fieldPosition="0">
        <references count="1">
          <reference field="6" count="0"/>
        </references>
      </pivotArea>
    </format>
    <format dxfId="137">
      <pivotArea dataOnly="0" labelOnly="1" grandCol="1" outline="0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field="6" type="button" dataOnly="0" labelOnly="1" outline="0" axis="axisCol" fieldPosition="0"/>
    </format>
    <format dxfId="132">
      <pivotArea type="topRight" dataOnly="0" labelOnly="1" outline="0" fieldPosition="0"/>
    </format>
    <format dxfId="131">
      <pivotArea field="2" type="button" dataOnly="0" labelOnly="1" outline="0" axis="axisRow" fieldPosition="0"/>
    </format>
    <format dxfId="130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9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8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7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6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5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4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23">
      <pivotArea dataOnly="0" labelOnly="1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22">
      <pivotArea dataOnly="0" labelOnly="1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21">
      <pivotArea dataOnly="0" labelOnly="1" fieldPosition="0">
        <references count="1">
          <reference field="2" count="37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</reference>
        </references>
      </pivotArea>
    </format>
    <format dxfId="120">
      <pivotArea dataOnly="0" labelOnly="1" grandRow="1" outline="0" fieldPosition="0"/>
    </format>
    <format dxfId="119">
      <pivotArea dataOnly="0" labelOnly="1" fieldPosition="0">
        <references count="1">
          <reference field="6" count="0"/>
        </references>
      </pivotArea>
    </format>
    <format dxfId="1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D0D07-A1CF-46FF-B20E-A76377FA4779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R9:BV21" firstHeaderRow="1" firstDataRow="2" firstDataCol="1"/>
  <pivotFields count="10">
    <pivotField dataField="1" showAll="0"/>
    <pivotField showAll="0"/>
    <pivotField numFmtId="165" showAll="0"/>
    <pivotField axis="axisRow" showAll="0">
      <items count="11">
        <item x="4"/>
        <item x="1"/>
        <item x="9"/>
        <item x="2"/>
        <item x="3"/>
        <item x="8"/>
        <item x="6"/>
        <item x="0"/>
        <item x="5"/>
        <item x="7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ppointment ID" fld="0" subtotal="count" baseField="0" baseItem="0"/>
  </dataFields>
  <formats count="20">
    <format dxfId="175">
      <pivotArea type="all" dataOnly="0" outline="0" fieldPosition="0"/>
    </format>
    <format dxfId="174">
      <pivotArea outline="0" collapsedLevelsAreSubtotals="1" fieldPosition="0"/>
    </format>
    <format dxfId="173">
      <pivotArea type="origin" dataOnly="0" labelOnly="1" outline="0" fieldPosition="0"/>
    </format>
    <format dxfId="172">
      <pivotArea field="6" type="button" dataOnly="0" labelOnly="1" outline="0" axis="axisCol" fieldPosition="0"/>
    </format>
    <format dxfId="171">
      <pivotArea type="topRight" dataOnly="0" labelOnly="1" outline="0" fieldPosition="0"/>
    </format>
    <format dxfId="170">
      <pivotArea field="3" type="button" dataOnly="0" labelOnly="1" outline="0" axis="axisRow" fieldPosition="0"/>
    </format>
    <format dxfId="169">
      <pivotArea dataOnly="0" labelOnly="1" fieldPosition="0">
        <references count="1">
          <reference field="3" count="0"/>
        </references>
      </pivotArea>
    </format>
    <format dxfId="168">
      <pivotArea dataOnly="0" labelOnly="1" grandRow="1" outline="0" fieldPosition="0"/>
    </format>
    <format dxfId="167">
      <pivotArea dataOnly="0" labelOnly="1" fieldPosition="0">
        <references count="1">
          <reference field="6" count="0"/>
        </references>
      </pivotArea>
    </format>
    <format dxfId="166">
      <pivotArea dataOnly="0" labelOnly="1" grandCol="1" outline="0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type="origin" dataOnly="0" labelOnly="1" outline="0" fieldPosition="0"/>
    </format>
    <format dxfId="162">
      <pivotArea field="6" type="button" dataOnly="0" labelOnly="1" outline="0" axis="axisCol" fieldPosition="0"/>
    </format>
    <format dxfId="161">
      <pivotArea type="topRight" dataOnly="0" labelOnly="1" outline="0" fieldPosition="0"/>
    </format>
    <format dxfId="160">
      <pivotArea field="3" type="button" dataOnly="0" labelOnly="1" outline="0" axis="axisRow" fieldPosition="0"/>
    </format>
    <format dxfId="159">
      <pivotArea dataOnly="0" labelOnly="1" fieldPosition="0">
        <references count="1">
          <reference field="3" count="0"/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6" count="0"/>
        </references>
      </pivotArea>
    </format>
    <format dxfId="15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680B6-AB49-40FE-99DA-78234A51CF8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U6:AW23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formats count="2">
    <format dxfId="177">
      <pivotArea type="all" dataOnly="0" outline="0" fieldPosition="0"/>
    </format>
    <format dxfId="17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66729-2C80-4258-94C4-FEDA451F8EC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Y10:BZ14" firstHeaderRow="1" firstDataRow="1" firstDataCol="1"/>
  <pivotFields count="10">
    <pivotField showAll="0"/>
    <pivotField showAll="0"/>
    <pivotField numFmtId="165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ee" fld="8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FB4C9-CF6B-41AF-A1FC-8C0A4DE5631D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G9:BH17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ppointment ID" fld="1" subtotal="count" baseField="0" baseItem="0"/>
  </dataFields>
  <formats count="12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0" type="button" dataOnly="0" labelOnly="1" outline="0" axis="axisRow" fieldPosition="0"/>
    </format>
    <format dxfId="186">
      <pivotArea dataOnly="0" labelOnly="1" fieldPosition="0">
        <references count="1">
          <reference field="0" count="0"/>
        </references>
      </pivotArea>
    </format>
    <format dxfId="185">
      <pivotArea dataOnly="0" labelOnly="1" grandRow="1" outline="0" fieldPosition="0"/>
    </format>
    <format dxfId="184">
      <pivotArea dataOnly="0" labelOnly="1" outline="0" axis="axisValues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0" type="button" dataOnly="0" labelOnly="1" outline="0" axis="axisRow" fieldPosition="0"/>
    </format>
    <format dxfId="180">
      <pivotArea dataOnly="0" labelOnly="1" fieldPosition="0">
        <references count="1">
          <reference field="0" count="0"/>
        </references>
      </pivotArea>
    </format>
    <format dxfId="179">
      <pivotArea dataOnly="0" labelOnly="1" grandRow="1" outline="0" fieldPosition="0"/>
    </format>
    <format dxfId="178">
      <pivotArea dataOnly="0" labelOnly="1" outline="0" axis="axisValues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al World 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17886-D906-4C1C-A44E-D51E3C12046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E10:CI15" firstHeaderRow="1" firstDataRow="2" firstDataCol="1"/>
  <pivotFields count="10">
    <pivotField dataField="1" showAll="0"/>
    <pivotField showAll="0"/>
    <pivotField numFmtId="165"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ppointment 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FBB14-0E7A-42FA-B512-234D12A9E5FA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Y8:BC17" firstHeaderRow="1" firstDataRow="2" firstDataCol="1"/>
  <pivotFields count="3">
    <pivotField axis="axisRow"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Appointment ID" fld="2" subtotal="count" baseField="0" baseItem="0"/>
  </dataFields>
  <formats count="20">
    <format dxfId="209">
      <pivotArea type="all" dataOnly="0" outline="0" fieldPosition="0"/>
    </format>
    <format dxfId="208">
      <pivotArea outline="0" collapsedLevelsAreSubtotals="1" fieldPosition="0"/>
    </format>
    <format dxfId="207">
      <pivotArea type="origin" dataOnly="0" labelOnly="1" outline="0" fieldPosition="0"/>
    </format>
    <format dxfId="206">
      <pivotArea field="1" type="button" dataOnly="0" labelOnly="1" outline="0" axis="axisCol" fieldPosition="0"/>
    </format>
    <format dxfId="205">
      <pivotArea type="topRight" dataOnly="0" labelOnly="1" outline="0" fieldPosition="0"/>
    </format>
    <format dxfId="204">
      <pivotArea field="0" type="button" dataOnly="0" labelOnly="1" outline="0" axis="axisRow" fieldPosition="0"/>
    </format>
    <format dxfId="203">
      <pivotArea dataOnly="0" labelOnly="1" fieldPosition="0">
        <references count="1">
          <reference field="0" count="0"/>
        </references>
      </pivotArea>
    </format>
    <format dxfId="202">
      <pivotArea dataOnly="0" labelOnly="1" grandRow="1" outline="0" fieldPosition="0"/>
    </format>
    <format dxfId="201">
      <pivotArea dataOnly="0" labelOnly="1" fieldPosition="0">
        <references count="1">
          <reference field="1" count="0"/>
        </references>
      </pivotArea>
    </format>
    <format dxfId="200">
      <pivotArea dataOnly="0" labelOnly="1" grandCol="1" outline="0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type="origin" dataOnly="0" labelOnly="1" outline="0" fieldPosition="0"/>
    </format>
    <format dxfId="196">
      <pivotArea field="1" type="button" dataOnly="0" labelOnly="1" outline="0" axis="axisCol" fieldPosition="0"/>
    </format>
    <format dxfId="195">
      <pivotArea type="topRight" dataOnly="0" labelOnly="1" outline="0" fieldPosition="0"/>
    </format>
    <format dxfId="194">
      <pivotArea field="0" type="button" dataOnly="0" labelOnly="1" outline="0" axis="axisRow" fieldPosition="0"/>
    </format>
    <format dxfId="193">
      <pivotArea dataOnly="0" labelOnly="1" fieldPosition="0">
        <references count="1">
          <reference field="0" count="0"/>
        </references>
      </pivotArea>
    </format>
    <format dxfId="192">
      <pivotArea dataOnly="0" labelOnly="1" grandRow="1" outline="0" fieldPosition="0"/>
    </format>
    <format dxfId="191">
      <pivotArea dataOnly="0" labelOnly="1" fieldPosition="0">
        <references count="1">
          <reference field="1" count="0"/>
        </references>
      </pivotArea>
    </format>
    <format dxfId="190">
      <pivotArea dataOnly="0" labelOnly="1" grandCol="1" outline="0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al World 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1CF95-F2BD-4396-ACB5-25F1F70213A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8:AD343" firstHeaderRow="1" firstDataRow="1" firstDataCol="1" rowPageCount="1" colPageCount="1"/>
  <pivotFields count="10">
    <pivotField showAll="0"/>
    <pivotField showAll="0"/>
    <pivotField axis="axisRow" numFmtId="165" showAll="0">
      <items count="488">
        <item x="305"/>
        <item x="13"/>
        <item x="357"/>
        <item x="250"/>
        <item x="439"/>
        <item x="107"/>
        <item x="74"/>
        <item x="391"/>
        <item x="122"/>
        <item x="447"/>
        <item x="142"/>
        <item x="394"/>
        <item x="47"/>
        <item x="182"/>
        <item x="420"/>
        <item x="19"/>
        <item x="8"/>
        <item x="109"/>
        <item x="115"/>
        <item x="217"/>
        <item x="151"/>
        <item x="173"/>
        <item x="320"/>
        <item x="360"/>
        <item x="191"/>
        <item x="387"/>
        <item x="200"/>
        <item x="206"/>
        <item x="228"/>
        <item x="223"/>
        <item x="124"/>
        <item x="186"/>
        <item x="300"/>
        <item x="235"/>
        <item x="39"/>
        <item x="147"/>
        <item x="434"/>
        <item x="29"/>
        <item x="427"/>
        <item x="346"/>
        <item x="350"/>
        <item x="52"/>
        <item x="141"/>
        <item x="482"/>
        <item x="226"/>
        <item x="63"/>
        <item x="177"/>
        <item x="254"/>
        <item x="364"/>
        <item x="316"/>
        <item x="77"/>
        <item x="361"/>
        <item x="176"/>
        <item x="262"/>
        <item x="221"/>
        <item x="1"/>
        <item x="428"/>
        <item x="402"/>
        <item x="112"/>
        <item x="255"/>
        <item x="134"/>
        <item x="359"/>
        <item x="410"/>
        <item x="356"/>
        <item x="432"/>
        <item x="412"/>
        <item x="129"/>
        <item x="332"/>
        <item x="215"/>
        <item x="442"/>
        <item x="355"/>
        <item x="353"/>
        <item x="75"/>
        <item x="307"/>
        <item x="3"/>
        <item x="264"/>
        <item x="145"/>
        <item x="278"/>
        <item x="199"/>
        <item x="32"/>
        <item x="312"/>
        <item x="366"/>
        <item x="317"/>
        <item x="294"/>
        <item x="363"/>
        <item x="322"/>
        <item x="330"/>
        <item x="396"/>
        <item x="187"/>
        <item x="16"/>
        <item x="30"/>
        <item x="345"/>
        <item x="188"/>
        <item x="445"/>
        <item x="449"/>
        <item x="458"/>
        <item x="267"/>
        <item x="417"/>
        <item x="202"/>
        <item x="326"/>
        <item x="168"/>
        <item x="421"/>
        <item x="212"/>
        <item x="325"/>
        <item x="426"/>
        <item x="234"/>
        <item x="131"/>
        <item x="475"/>
        <item x="91"/>
        <item x="456"/>
        <item x="62"/>
        <item x="471"/>
        <item x="14"/>
        <item x="392"/>
        <item x="318"/>
        <item x="413"/>
        <item x="144"/>
        <item x="249"/>
        <item x="358"/>
        <item x="373"/>
        <item x="184"/>
        <item x="446"/>
        <item x="469"/>
        <item x="49"/>
        <item x="40"/>
        <item x="388"/>
        <item x="158"/>
        <item x="349"/>
        <item x="336"/>
        <item x="282"/>
        <item x="474"/>
        <item x="210"/>
        <item x="424"/>
        <item x="72"/>
        <item x="443"/>
        <item x="329"/>
        <item x="110"/>
        <item x="213"/>
        <item x="295"/>
        <item x="54"/>
        <item x="389"/>
        <item x="45"/>
        <item x="258"/>
        <item x="440"/>
        <item x="183"/>
        <item x="166"/>
        <item x="108"/>
        <item x="291"/>
        <item x="472"/>
        <item x="451"/>
        <item x="189"/>
        <item x="411"/>
        <item x="470"/>
        <item x="344"/>
        <item x="400"/>
        <item x="180"/>
        <item x="342"/>
        <item x="15"/>
        <item x="240"/>
        <item x="143"/>
        <item x="93"/>
        <item x="196"/>
        <item x="484"/>
        <item x="104"/>
        <item x="466"/>
        <item x="354"/>
        <item x="480"/>
        <item x="28"/>
        <item x="406"/>
        <item x="385"/>
        <item x="79"/>
        <item x="351"/>
        <item x="453"/>
        <item x="195"/>
        <item x="341"/>
        <item x="90"/>
        <item x="257"/>
        <item x="219"/>
        <item x="319"/>
        <item x="238"/>
        <item x="0"/>
        <item x="381"/>
        <item x="374"/>
        <item x="368"/>
        <item x="73"/>
        <item x="117"/>
        <item x="86"/>
        <item x="272"/>
        <item x="23"/>
        <item x="68"/>
        <item x="398"/>
        <item x="162"/>
        <item x="323"/>
        <item x="301"/>
        <item x="437"/>
        <item x="46"/>
        <item x="174"/>
        <item x="165"/>
        <item x="367"/>
        <item x="328"/>
        <item x="296"/>
        <item x="157"/>
        <item x="25"/>
        <item x="70"/>
        <item x="111"/>
        <item x="280"/>
        <item x="185"/>
        <item x="55"/>
        <item x="233"/>
        <item x="78"/>
        <item x="370"/>
        <item x="386"/>
        <item x="156"/>
        <item x="17"/>
        <item x="148"/>
        <item x="310"/>
        <item x="444"/>
        <item x="246"/>
        <item x="211"/>
        <item x="216"/>
        <item x="371"/>
        <item x="139"/>
        <item x="135"/>
        <item x="270"/>
        <item x="34"/>
        <item x="218"/>
        <item x="87"/>
        <item x="18"/>
        <item x="67"/>
        <item x="22"/>
        <item x="220"/>
        <item x="99"/>
        <item x="94"/>
        <item x="137"/>
        <item x="133"/>
        <item x="154"/>
        <item x="379"/>
        <item x="265"/>
        <item x="399"/>
        <item x="10"/>
        <item x="65"/>
        <item x="275"/>
        <item x="284"/>
        <item x="464"/>
        <item x="242"/>
        <item x="205"/>
        <item x="251"/>
        <item x="164"/>
        <item x="348"/>
        <item x="24"/>
        <item x="430"/>
        <item x="59"/>
        <item x="106"/>
        <item x="53"/>
        <item x="222"/>
        <item x="352"/>
        <item x="283"/>
        <item x="339"/>
        <item x="263"/>
        <item x="152"/>
        <item x="452"/>
        <item x="365"/>
        <item x="313"/>
        <item x="414"/>
        <item x="229"/>
        <item x="194"/>
        <item x="333"/>
        <item x="383"/>
        <item x="290"/>
        <item x="89"/>
        <item x="37"/>
        <item x="127"/>
        <item x="266"/>
        <item x="208"/>
        <item x="423"/>
        <item x="241"/>
        <item x="404"/>
        <item x="268"/>
        <item x="416"/>
        <item x="167"/>
        <item x="293"/>
        <item x="465"/>
        <item x="274"/>
        <item x="71"/>
        <item x="425"/>
        <item x="132"/>
        <item x="102"/>
        <item x="407"/>
        <item x="260"/>
        <item x="56"/>
        <item x="347"/>
        <item x="84"/>
        <item x="83"/>
        <item x="455"/>
        <item x="236"/>
        <item x="273"/>
        <item x="175"/>
        <item x="193"/>
        <item x="181"/>
        <item x="101"/>
        <item x="178"/>
        <item x="123"/>
        <item x="277"/>
        <item x="51"/>
        <item x="163"/>
        <item x="435"/>
        <item x="261"/>
        <item x="289"/>
        <item x="80"/>
        <item x="88"/>
        <item x="279"/>
        <item x="126"/>
        <item x="461"/>
        <item x="269"/>
        <item x="38"/>
        <item x="58"/>
        <item x="149"/>
        <item x="146"/>
        <item x="340"/>
        <item x="61"/>
        <item x="76"/>
        <item x="457"/>
        <item x="243"/>
        <item x="271"/>
        <item x="390"/>
        <item x="460"/>
        <item x="393"/>
        <item x="69"/>
        <item x="375"/>
        <item x="408"/>
        <item x="483"/>
        <item x="197"/>
        <item x="256"/>
        <item x="248"/>
        <item x="150"/>
        <item x="190"/>
        <item x="26"/>
        <item x="140"/>
        <item x="43"/>
        <item x="33"/>
        <item x="401"/>
        <item x="415"/>
        <item x="486"/>
        <item x="287"/>
        <item x="331"/>
        <item x="179"/>
        <item x="450"/>
        <item x="431"/>
        <item x="476"/>
        <item x="372"/>
        <item x="454"/>
        <item x="203"/>
        <item x="481"/>
        <item x="311"/>
        <item x="227"/>
        <item x="42"/>
        <item x="462"/>
        <item x="253"/>
        <item x="169"/>
        <item x="239"/>
        <item x="98"/>
        <item x="252"/>
        <item x="308"/>
        <item x="7"/>
        <item x="245"/>
        <item x="463"/>
        <item x="4"/>
        <item x="225"/>
        <item x="433"/>
        <item x="362"/>
        <item x="95"/>
        <item x="100"/>
        <item x="485"/>
        <item x="121"/>
        <item x="438"/>
        <item x="118"/>
        <item x="448"/>
        <item x="201"/>
        <item x="409"/>
        <item x="337"/>
        <item x="292"/>
        <item x="281"/>
        <item x="321"/>
        <item x="247"/>
        <item x="153"/>
        <item x="429"/>
        <item x="478"/>
        <item x="419"/>
        <item x="380"/>
        <item x="343"/>
        <item x="324"/>
        <item x="468"/>
        <item x="276"/>
        <item x="479"/>
        <item x="259"/>
        <item x="207"/>
        <item x="335"/>
        <item x="20"/>
        <item x="298"/>
        <item x="237"/>
        <item x="327"/>
        <item x="171"/>
        <item x="436"/>
        <item x="198"/>
        <item x="314"/>
        <item x="120"/>
        <item x="2"/>
        <item x="66"/>
        <item x="395"/>
        <item x="473"/>
        <item x="138"/>
        <item x="459"/>
        <item x="161"/>
        <item x="125"/>
        <item x="477"/>
        <item x="41"/>
        <item x="159"/>
        <item x="285"/>
        <item x="103"/>
        <item x="31"/>
        <item x="224"/>
        <item x="204"/>
        <item x="309"/>
        <item x="36"/>
        <item x="418"/>
        <item x="57"/>
        <item x="302"/>
        <item x="315"/>
        <item x="172"/>
        <item x="338"/>
        <item x="6"/>
        <item x="170"/>
        <item x="288"/>
        <item x="113"/>
        <item x="105"/>
        <item x="192"/>
        <item x="155"/>
        <item x="231"/>
        <item x="9"/>
        <item x="119"/>
        <item x="114"/>
        <item x="378"/>
        <item x="82"/>
        <item x="92"/>
        <item x="334"/>
        <item x="422"/>
        <item x="60"/>
        <item x="232"/>
        <item x="21"/>
        <item x="97"/>
        <item x="5"/>
        <item x="64"/>
        <item x="382"/>
        <item x="136"/>
        <item x="209"/>
        <item x="397"/>
        <item x="304"/>
        <item x="128"/>
        <item x="130"/>
        <item x="44"/>
        <item x="50"/>
        <item x="384"/>
        <item x="214"/>
        <item x="116"/>
        <item x="441"/>
        <item x="286"/>
        <item x="27"/>
        <item x="85"/>
        <item x="377"/>
        <item x="160"/>
        <item x="12"/>
        <item x="11"/>
        <item x="405"/>
        <item x="81"/>
        <item x="376"/>
        <item x="35"/>
        <item x="303"/>
        <item x="369"/>
        <item x="467"/>
        <item x="403"/>
        <item x="299"/>
        <item x="96"/>
        <item x="306"/>
        <item x="48"/>
        <item x="244"/>
        <item x="230"/>
        <item x="297"/>
        <item t="default"/>
      </items>
    </pivotField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335">
    <i>
      <x/>
    </i>
    <i>
      <x v="2"/>
    </i>
    <i>
      <x v="6"/>
    </i>
    <i>
      <x v="7"/>
    </i>
    <i>
      <x v="8"/>
    </i>
    <i>
      <x v="11"/>
    </i>
    <i>
      <x v="12"/>
    </i>
    <i>
      <x v="14"/>
    </i>
    <i>
      <x v="16"/>
    </i>
    <i>
      <x v="18"/>
    </i>
    <i>
      <x v="19"/>
    </i>
    <i>
      <x v="20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6"/>
    </i>
    <i>
      <x v="38"/>
    </i>
    <i>
      <x v="40"/>
    </i>
    <i>
      <x v="41"/>
    </i>
    <i>
      <x v="43"/>
    </i>
    <i>
      <x v="44"/>
    </i>
    <i>
      <x v="45"/>
    </i>
    <i>
      <x v="46"/>
    </i>
    <i>
      <x v="47"/>
    </i>
    <i>
      <x v="49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5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1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6"/>
    </i>
    <i>
      <x v="99"/>
    </i>
    <i>
      <x v="100"/>
    </i>
    <i>
      <x v="101"/>
    </i>
    <i>
      <x v="102"/>
    </i>
    <i>
      <x v="103"/>
    </i>
    <i>
      <x v="104"/>
    </i>
    <i>
      <x v="106"/>
    </i>
    <i>
      <x v="107"/>
    </i>
    <i>
      <x v="108"/>
    </i>
    <i>
      <x v="111"/>
    </i>
    <i>
      <x v="113"/>
    </i>
    <i>
      <x v="117"/>
    </i>
    <i>
      <x v="118"/>
    </i>
    <i>
      <x v="119"/>
    </i>
    <i>
      <x v="121"/>
    </i>
    <i>
      <x v="122"/>
    </i>
    <i>
      <x v="123"/>
    </i>
    <i>
      <x v="124"/>
    </i>
    <i>
      <x v="125"/>
    </i>
    <i>
      <x v="128"/>
    </i>
    <i>
      <x v="129"/>
    </i>
    <i>
      <x v="132"/>
    </i>
    <i>
      <x v="134"/>
    </i>
    <i>
      <x v="135"/>
    </i>
    <i>
      <x v="140"/>
    </i>
    <i>
      <x v="141"/>
    </i>
    <i>
      <x v="143"/>
    </i>
    <i>
      <x v="145"/>
    </i>
    <i>
      <x v="147"/>
    </i>
    <i>
      <x v="149"/>
    </i>
    <i>
      <x v="150"/>
    </i>
    <i>
      <x v="152"/>
    </i>
    <i>
      <x v="153"/>
    </i>
    <i>
      <x v="155"/>
    </i>
    <i>
      <x v="157"/>
    </i>
    <i>
      <x v="160"/>
    </i>
    <i>
      <x v="162"/>
    </i>
    <i>
      <x v="163"/>
    </i>
    <i>
      <x v="165"/>
    </i>
    <i>
      <x v="167"/>
    </i>
    <i>
      <x v="170"/>
    </i>
    <i>
      <x v="172"/>
    </i>
    <i>
      <x v="173"/>
    </i>
    <i>
      <x v="174"/>
    </i>
    <i>
      <x v="175"/>
    </i>
    <i>
      <x v="177"/>
    </i>
    <i>
      <x v="178"/>
    </i>
    <i>
      <x v="180"/>
    </i>
    <i>
      <x v="181"/>
    </i>
    <i>
      <x v="184"/>
    </i>
    <i>
      <x v="185"/>
    </i>
    <i>
      <x v="187"/>
    </i>
    <i>
      <x v="188"/>
    </i>
    <i>
      <x v="190"/>
    </i>
    <i>
      <x v="191"/>
    </i>
    <i>
      <x v="192"/>
    </i>
    <i>
      <x v="194"/>
    </i>
    <i>
      <x v="195"/>
    </i>
    <i>
      <x v="198"/>
    </i>
    <i>
      <x v="199"/>
    </i>
    <i>
      <x v="204"/>
    </i>
    <i>
      <x v="205"/>
    </i>
    <i>
      <x v="206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9"/>
    </i>
    <i>
      <x v="221"/>
    </i>
    <i>
      <x v="222"/>
    </i>
    <i>
      <x v="223"/>
    </i>
    <i>
      <x v="224"/>
    </i>
    <i>
      <x v="226"/>
    </i>
    <i>
      <x v="228"/>
    </i>
    <i>
      <x v="229"/>
    </i>
    <i>
      <x v="230"/>
    </i>
    <i>
      <x v="232"/>
    </i>
    <i>
      <x v="233"/>
    </i>
    <i>
      <x v="234"/>
    </i>
    <i>
      <x v="235"/>
    </i>
    <i>
      <x v="236"/>
    </i>
    <i>
      <x v="238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3"/>
    </i>
    <i>
      <x v="254"/>
    </i>
    <i>
      <x v="255"/>
    </i>
    <i>
      <x v="256"/>
    </i>
    <i>
      <x v="257"/>
    </i>
    <i>
      <x v="258"/>
    </i>
    <i>
      <x v="260"/>
    </i>
    <i>
      <x v="262"/>
    </i>
    <i>
      <x v="263"/>
    </i>
    <i>
      <x v="269"/>
    </i>
    <i>
      <x v="270"/>
    </i>
    <i>
      <x v="271"/>
    </i>
    <i>
      <x v="274"/>
    </i>
    <i>
      <x v="275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7"/>
    </i>
    <i>
      <x v="288"/>
    </i>
    <i>
      <x v="289"/>
    </i>
    <i>
      <x v="290"/>
    </i>
    <i>
      <x v="291"/>
    </i>
    <i>
      <x v="293"/>
    </i>
    <i>
      <x v="294"/>
    </i>
    <i>
      <x v="295"/>
    </i>
    <i>
      <x v="296"/>
    </i>
    <i>
      <x v="297"/>
    </i>
    <i>
      <x v="299"/>
    </i>
    <i>
      <x v="301"/>
    </i>
    <i>
      <x v="302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9"/>
    </i>
    <i>
      <x v="320"/>
    </i>
    <i>
      <x v="322"/>
    </i>
    <i>
      <x v="323"/>
    </i>
    <i>
      <x v="324"/>
    </i>
    <i>
      <x v="325"/>
    </i>
    <i>
      <x v="326"/>
    </i>
    <i>
      <x v="328"/>
    </i>
    <i>
      <x v="329"/>
    </i>
    <i>
      <x v="331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2"/>
    </i>
    <i>
      <x v="344"/>
    </i>
    <i>
      <x v="345"/>
    </i>
    <i>
      <x v="346"/>
    </i>
    <i>
      <x v="347"/>
    </i>
    <i>
      <x v="348"/>
    </i>
    <i>
      <x v="350"/>
    </i>
    <i>
      <x v="355"/>
    </i>
    <i>
      <x v="356"/>
    </i>
    <i>
      <x v="357"/>
    </i>
    <i>
      <x v="359"/>
    </i>
    <i>
      <x v="361"/>
    </i>
    <i>
      <x v="363"/>
    </i>
    <i>
      <x v="364"/>
    </i>
    <i>
      <x v="365"/>
    </i>
    <i>
      <x v="366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7"/>
    </i>
    <i>
      <x v="378"/>
    </i>
    <i>
      <x v="379"/>
    </i>
    <i>
      <x v="382"/>
    </i>
    <i>
      <x v="383"/>
    </i>
    <i>
      <x v="384"/>
    </i>
    <i>
      <x v="386"/>
    </i>
    <i>
      <x v="388"/>
    </i>
    <i>
      <x v="390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10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20"/>
    </i>
    <i>
      <x v="422"/>
    </i>
    <i>
      <x v="423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4"/>
    </i>
    <i>
      <x v="435"/>
    </i>
    <i>
      <x v="437"/>
    </i>
    <i>
      <x v="438"/>
    </i>
    <i>
      <x v="439"/>
    </i>
    <i>
      <x v="441"/>
    </i>
    <i>
      <x v="442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4"/>
    </i>
    <i>
      <x v="456"/>
    </i>
    <i>
      <x v="457"/>
    </i>
    <i>
      <x v="458"/>
    </i>
    <i>
      <x v="460"/>
    </i>
    <i>
      <x v="461"/>
    </i>
    <i>
      <x v="465"/>
    </i>
    <i>
      <x v="466"/>
    </i>
    <i>
      <x v="469"/>
    </i>
    <i>
      <x v="471"/>
    </i>
    <i>
      <x v="472"/>
    </i>
    <i>
      <x v="474"/>
    </i>
    <i>
      <x v="475"/>
    </i>
    <i>
      <x v="476"/>
    </i>
    <i>
      <x v="478"/>
    </i>
    <i>
      <x v="480"/>
    </i>
    <i>
      <x v="481"/>
    </i>
    <i>
      <x v="482"/>
    </i>
    <i>
      <x v="483"/>
    </i>
    <i>
      <x v="484"/>
    </i>
    <i>
      <x v="485"/>
    </i>
    <i>
      <x v="486"/>
    </i>
    <i t="grand">
      <x/>
    </i>
  </rowItems>
  <colItems count="1">
    <i/>
  </colItems>
  <pageFields count="1">
    <pageField fld="6" item="1" hier="-1"/>
  </pageFields>
  <dataFields count="1">
    <dataField name="Sum of Fee" fld="8" baseField="0" baseItem="0"/>
  </dataFields>
  <formats count="24"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2" type="button" dataOnly="0" labelOnly="1" outline="0" axis="axisRow" fieldPosition="0"/>
    </format>
    <format dxfId="230">
      <pivotArea dataOnly="0" labelOnly="1" fieldPosition="0">
        <references count="1">
          <reference field="2" count="50">
            <x v="0"/>
            <x v="2"/>
            <x v="6"/>
            <x v="7"/>
            <x v="8"/>
            <x v="11"/>
            <x v="12"/>
            <x v="14"/>
            <x v="16"/>
            <x v="18"/>
            <x v="19"/>
            <x v="20"/>
            <x v="22"/>
            <x v="23"/>
            <x v="25"/>
            <x v="26"/>
            <x v="27"/>
            <x v="28"/>
            <x v="29"/>
            <x v="30"/>
            <x v="32"/>
            <x v="33"/>
            <x v="36"/>
            <x v="38"/>
            <x v="40"/>
            <x v="41"/>
            <x v="43"/>
            <x v="44"/>
            <x v="45"/>
            <x v="46"/>
            <x v="47"/>
            <x v="49"/>
            <x v="52"/>
            <x v="53"/>
            <x v="54"/>
            <x v="55"/>
            <x v="56"/>
            <x v="57"/>
            <x v="58"/>
            <x v="59"/>
            <x v="60"/>
            <x v="61"/>
            <x v="65"/>
            <x v="67"/>
            <x v="68"/>
            <x v="69"/>
            <x v="70"/>
            <x v="71"/>
            <x v="72"/>
            <x v="73"/>
          </reference>
        </references>
      </pivotArea>
    </format>
    <format dxfId="229">
      <pivotArea dataOnly="0" labelOnly="1" fieldPosition="0">
        <references count="1">
          <reference field="2" count="50">
            <x v="74"/>
            <x v="75"/>
            <x v="76"/>
            <x v="77"/>
            <x v="78"/>
            <x v="79"/>
            <x v="81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  <x v="99"/>
            <x v="100"/>
            <x v="101"/>
            <x v="102"/>
            <x v="103"/>
            <x v="104"/>
            <x v="106"/>
            <x v="107"/>
            <x v="108"/>
            <x v="111"/>
            <x v="113"/>
            <x v="117"/>
            <x v="118"/>
            <x v="119"/>
            <x v="121"/>
            <x v="122"/>
            <x v="123"/>
            <x v="124"/>
            <x v="125"/>
            <x v="128"/>
            <x v="129"/>
            <x v="132"/>
            <x v="134"/>
            <x v="135"/>
            <x v="140"/>
            <x v="141"/>
            <x v="143"/>
            <x v="145"/>
            <x v="147"/>
            <x v="149"/>
            <x v="150"/>
          </reference>
        </references>
      </pivotArea>
    </format>
    <format dxfId="228">
      <pivotArea dataOnly="0" labelOnly="1" fieldPosition="0">
        <references count="1">
          <reference field="2" count="50">
            <x v="152"/>
            <x v="153"/>
            <x v="155"/>
            <x v="157"/>
            <x v="160"/>
            <x v="162"/>
            <x v="163"/>
            <x v="165"/>
            <x v="167"/>
            <x v="170"/>
            <x v="172"/>
            <x v="173"/>
            <x v="174"/>
            <x v="175"/>
            <x v="177"/>
            <x v="178"/>
            <x v="180"/>
            <x v="181"/>
            <x v="184"/>
            <x v="185"/>
            <x v="187"/>
            <x v="188"/>
            <x v="190"/>
            <x v="191"/>
            <x v="192"/>
            <x v="194"/>
            <x v="195"/>
            <x v="198"/>
            <x v="199"/>
            <x v="204"/>
            <x v="205"/>
            <x v="206"/>
            <x v="209"/>
            <x v="210"/>
            <x v="211"/>
            <x v="212"/>
            <x v="213"/>
            <x v="214"/>
            <x v="215"/>
            <x v="216"/>
            <x v="217"/>
            <x v="219"/>
            <x v="221"/>
            <x v="222"/>
            <x v="223"/>
            <x v="224"/>
            <x v="226"/>
            <x v="228"/>
            <x v="229"/>
            <x v="230"/>
          </reference>
        </references>
      </pivotArea>
    </format>
    <format dxfId="227">
      <pivotArea dataOnly="0" labelOnly="1" fieldPosition="0">
        <references count="1">
          <reference field="2" count="50">
            <x v="232"/>
            <x v="233"/>
            <x v="234"/>
            <x v="235"/>
            <x v="236"/>
            <x v="238"/>
            <x v="240"/>
            <x v="241"/>
            <x v="242"/>
            <x v="243"/>
            <x v="244"/>
            <x v="245"/>
            <x v="247"/>
            <x v="248"/>
            <x v="249"/>
            <x v="250"/>
            <x v="251"/>
            <x v="253"/>
            <x v="254"/>
            <x v="255"/>
            <x v="256"/>
            <x v="257"/>
            <x v="258"/>
            <x v="260"/>
            <x v="262"/>
            <x v="263"/>
            <x v="269"/>
            <x v="270"/>
            <x v="271"/>
            <x v="274"/>
            <x v="275"/>
            <x v="277"/>
            <x v="278"/>
            <x v="279"/>
            <x v="280"/>
            <x v="281"/>
            <x v="282"/>
            <x v="283"/>
            <x v="284"/>
            <x v="287"/>
            <x v="288"/>
            <x v="289"/>
            <x v="290"/>
            <x v="291"/>
            <x v="293"/>
            <x v="294"/>
            <x v="295"/>
            <x v="296"/>
            <x v="297"/>
            <x v="299"/>
          </reference>
        </references>
      </pivotArea>
    </format>
    <format dxfId="226">
      <pivotArea dataOnly="0" labelOnly="1" fieldPosition="0">
        <references count="1">
          <reference field="2" count="50">
            <x v="301"/>
            <x v="302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9"/>
            <x v="320"/>
            <x v="322"/>
            <x v="323"/>
            <x v="324"/>
            <x v="325"/>
            <x v="326"/>
            <x v="328"/>
            <x v="329"/>
            <x v="331"/>
            <x v="333"/>
            <x v="334"/>
            <x v="335"/>
            <x v="336"/>
            <x v="337"/>
            <x v="338"/>
            <x v="339"/>
            <x v="340"/>
            <x v="342"/>
            <x v="344"/>
            <x v="345"/>
            <x v="346"/>
            <x v="347"/>
            <x v="348"/>
            <x v="350"/>
            <x v="355"/>
            <x v="356"/>
            <x v="357"/>
            <x v="359"/>
            <x v="361"/>
            <x v="363"/>
            <x v="364"/>
            <x v="365"/>
            <x v="366"/>
            <x v="369"/>
          </reference>
        </references>
      </pivotArea>
    </format>
    <format dxfId="225">
      <pivotArea dataOnly="0" labelOnly="1" fieldPosition="0">
        <references count="1">
          <reference field="2" count="50">
            <x v="370"/>
            <x v="371"/>
            <x v="372"/>
            <x v="373"/>
            <x v="374"/>
            <x v="375"/>
            <x v="377"/>
            <x v="378"/>
            <x v="379"/>
            <x v="382"/>
            <x v="383"/>
            <x v="384"/>
            <x v="386"/>
            <x v="388"/>
            <x v="390"/>
            <x v="392"/>
            <x v="393"/>
            <x v="394"/>
            <x v="395"/>
            <x v="396"/>
            <x v="397"/>
            <x v="398"/>
            <x v="399"/>
            <x v="401"/>
            <x v="402"/>
            <x v="403"/>
            <x v="404"/>
            <x v="405"/>
            <x v="406"/>
            <x v="407"/>
            <x v="410"/>
            <x v="412"/>
            <x v="413"/>
            <x v="414"/>
            <x v="415"/>
            <x v="416"/>
            <x v="417"/>
            <x v="418"/>
            <x v="420"/>
            <x v="422"/>
            <x v="423"/>
            <x v="425"/>
            <x v="426"/>
            <x v="427"/>
            <x v="428"/>
            <x v="429"/>
            <x v="430"/>
            <x v="431"/>
            <x v="434"/>
            <x v="435"/>
          </reference>
        </references>
      </pivotArea>
    </format>
    <format dxfId="224">
      <pivotArea dataOnly="0" labelOnly="1" fieldPosition="0">
        <references count="1">
          <reference field="2" count="34">
            <x v="437"/>
            <x v="438"/>
            <x v="439"/>
            <x v="441"/>
            <x v="442"/>
            <x v="444"/>
            <x v="445"/>
            <x v="446"/>
            <x v="447"/>
            <x v="448"/>
            <x v="449"/>
            <x v="450"/>
            <x v="454"/>
            <x v="456"/>
            <x v="457"/>
            <x v="458"/>
            <x v="460"/>
            <x v="461"/>
            <x v="465"/>
            <x v="466"/>
            <x v="469"/>
            <x v="471"/>
            <x v="472"/>
            <x v="474"/>
            <x v="475"/>
            <x v="476"/>
            <x v="478"/>
            <x v="480"/>
            <x v="481"/>
            <x v="482"/>
            <x v="483"/>
            <x v="484"/>
            <x v="485"/>
            <x v="486"/>
          </reference>
        </references>
      </pivotArea>
    </format>
    <format dxfId="223">
      <pivotArea dataOnly="0" labelOnly="1" grandRow="1" outline="0" fieldPosition="0"/>
    </format>
    <format dxfId="222">
      <pivotArea dataOnly="0" labelOnly="1" outline="0" axis="axisValues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2" type="button" dataOnly="0" labelOnly="1" outline="0" axis="axisRow" fieldPosition="0"/>
    </format>
    <format dxfId="218">
      <pivotArea dataOnly="0" labelOnly="1" fieldPosition="0">
        <references count="1">
          <reference field="2" count="50">
            <x v="0"/>
            <x v="2"/>
            <x v="6"/>
            <x v="7"/>
            <x v="8"/>
            <x v="11"/>
            <x v="12"/>
            <x v="14"/>
            <x v="16"/>
            <x v="18"/>
            <x v="19"/>
            <x v="20"/>
            <x v="22"/>
            <x v="23"/>
            <x v="25"/>
            <x v="26"/>
            <x v="27"/>
            <x v="28"/>
            <x v="29"/>
            <x v="30"/>
            <x v="32"/>
            <x v="33"/>
            <x v="36"/>
            <x v="38"/>
            <x v="40"/>
            <x v="41"/>
            <x v="43"/>
            <x v="44"/>
            <x v="45"/>
            <x v="46"/>
            <x v="47"/>
            <x v="49"/>
            <x v="52"/>
            <x v="53"/>
            <x v="54"/>
            <x v="55"/>
            <x v="56"/>
            <x v="57"/>
            <x v="58"/>
            <x v="59"/>
            <x v="60"/>
            <x v="61"/>
            <x v="65"/>
            <x v="67"/>
            <x v="68"/>
            <x v="69"/>
            <x v="70"/>
            <x v="71"/>
            <x v="72"/>
            <x v="73"/>
          </reference>
        </references>
      </pivotArea>
    </format>
    <format dxfId="217">
      <pivotArea dataOnly="0" labelOnly="1" fieldPosition="0">
        <references count="1">
          <reference field="2" count="50">
            <x v="74"/>
            <x v="75"/>
            <x v="76"/>
            <x v="77"/>
            <x v="78"/>
            <x v="79"/>
            <x v="81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6"/>
            <x v="99"/>
            <x v="100"/>
            <x v="101"/>
            <x v="102"/>
            <x v="103"/>
            <x v="104"/>
            <x v="106"/>
            <x v="107"/>
            <x v="108"/>
            <x v="111"/>
            <x v="113"/>
            <x v="117"/>
            <x v="118"/>
            <x v="119"/>
            <x v="121"/>
            <x v="122"/>
            <x v="123"/>
            <x v="124"/>
            <x v="125"/>
            <x v="128"/>
            <x v="129"/>
            <x v="132"/>
            <x v="134"/>
            <x v="135"/>
            <x v="140"/>
            <x v="141"/>
            <x v="143"/>
            <x v="145"/>
            <x v="147"/>
            <x v="149"/>
            <x v="150"/>
          </reference>
        </references>
      </pivotArea>
    </format>
    <format dxfId="216">
      <pivotArea dataOnly="0" labelOnly="1" fieldPosition="0">
        <references count="1">
          <reference field="2" count="50">
            <x v="152"/>
            <x v="153"/>
            <x v="155"/>
            <x v="157"/>
            <x v="160"/>
            <x v="162"/>
            <x v="163"/>
            <x v="165"/>
            <x v="167"/>
            <x v="170"/>
            <x v="172"/>
            <x v="173"/>
            <x v="174"/>
            <x v="175"/>
            <x v="177"/>
            <x v="178"/>
            <x v="180"/>
            <x v="181"/>
            <x v="184"/>
            <x v="185"/>
            <x v="187"/>
            <x v="188"/>
            <x v="190"/>
            <x v="191"/>
            <x v="192"/>
            <x v="194"/>
            <x v="195"/>
            <x v="198"/>
            <x v="199"/>
            <x v="204"/>
            <x v="205"/>
            <x v="206"/>
            <x v="209"/>
            <x v="210"/>
            <x v="211"/>
            <x v="212"/>
            <x v="213"/>
            <x v="214"/>
            <x v="215"/>
            <x v="216"/>
            <x v="217"/>
            <x v="219"/>
            <x v="221"/>
            <x v="222"/>
            <x v="223"/>
            <x v="224"/>
            <x v="226"/>
            <x v="228"/>
            <x v="229"/>
            <x v="230"/>
          </reference>
        </references>
      </pivotArea>
    </format>
    <format dxfId="215">
      <pivotArea dataOnly="0" labelOnly="1" fieldPosition="0">
        <references count="1">
          <reference field="2" count="50">
            <x v="232"/>
            <x v="233"/>
            <x v="234"/>
            <x v="235"/>
            <x v="236"/>
            <x v="238"/>
            <x v="240"/>
            <x v="241"/>
            <x v="242"/>
            <x v="243"/>
            <x v="244"/>
            <x v="245"/>
            <x v="247"/>
            <x v="248"/>
            <x v="249"/>
            <x v="250"/>
            <x v="251"/>
            <x v="253"/>
            <x v="254"/>
            <x v="255"/>
            <x v="256"/>
            <x v="257"/>
            <x v="258"/>
            <x v="260"/>
            <x v="262"/>
            <x v="263"/>
            <x v="269"/>
            <x v="270"/>
            <x v="271"/>
            <x v="274"/>
            <x v="275"/>
            <x v="277"/>
            <x v="278"/>
            <x v="279"/>
            <x v="280"/>
            <x v="281"/>
            <x v="282"/>
            <x v="283"/>
            <x v="284"/>
            <x v="287"/>
            <x v="288"/>
            <x v="289"/>
            <x v="290"/>
            <x v="291"/>
            <x v="293"/>
            <x v="294"/>
            <x v="295"/>
            <x v="296"/>
            <x v="297"/>
            <x v="299"/>
          </reference>
        </references>
      </pivotArea>
    </format>
    <format dxfId="214">
      <pivotArea dataOnly="0" labelOnly="1" fieldPosition="0">
        <references count="1">
          <reference field="2" count="50">
            <x v="301"/>
            <x v="302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9"/>
            <x v="320"/>
            <x v="322"/>
            <x v="323"/>
            <x v="324"/>
            <x v="325"/>
            <x v="326"/>
            <x v="328"/>
            <x v="329"/>
            <x v="331"/>
            <x v="333"/>
            <x v="334"/>
            <x v="335"/>
            <x v="336"/>
            <x v="337"/>
            <x v="338"/>
            <x v="339"/>
            <x v="340"/>
            <x v="342"/>
            <x v="344"/>
            <x v="345"/>
            <x v="346"/>
            <x v="347"/>
            <x v="348"/>
            <x v="350"/>
            <x v="355"/>
            <x v="356"/>
            <x v="357"/>
            <x v="359"/>
            <x v="361"/>
            <x v="363"/>
            <x v="364"/>
            <x v="365"/>
            <x v="366"/>
            <x v="369"/>
          </reference>
        </references>
      </pivotArea>
    </format>
    <format dxfId="213">
      <pivotArea dataOnly="0" labelOnly="1" fieldPosition="0">
        <references count="1">
          <reference field="2" count="50">
            <x v="370"/>
            <x v="371"/>
            <x v="372"/>
            <x v="373"/>
            <x v="374"/>
            <x v="375"/>
            <x v="377"/>
            <x v="378"/>
            <x v="379"/>
            <x v="382"/>
            <x v="383"/>
            <x v="384"/>
            <x v="386"/>
            <x v="388"/>
            <x v="390"/>
            <x v="392"/>
            <x v="393"/>
            <x v="394"/>
            <x v="395"/>
            <x v="396"/>
            <x v="397"/>
            <x v="398"/>
            <x v="399"/>
            <x v="401"/>
            <x v="402"/>
            <x v="403"/>
            <x v="404"/>
            <x v="405"/>
            <x v="406"/>
            <x v="407"/>
            <x v="410"/>
            <x v="412"/>
            <x v="413"/>
            <x v="414"/>
            <x v="415"/>
            <x v="416"/>
            <x v="417"/>
            <x v="418"/>
            <x v="420"/>
            <x v="422"/>
            <x v="423"/>
            <x v="425"/>
            <x v="426"/>
            <x v="427"/>
            <x v="428"/>
            <x v="429"/>
            <x v="430"/>
            <x v="431"/>
            <x v="434"/>
            <x v="435"/>
          </reference>
        </references>
      </pivotArea>
    </format>
    <format dxfId="212">
      <pivotArea dataOnly="0" labelOnly="1" fieldPosition="0">
        <references count="1">
          <reference field="2" count="34">
            <x v="437"/>
            <x v="438"/>
            <x v="439"/>
            <x v="441"/>
            <x v="442"/>
            <x v="444"/>
            <x v="445"/>
            <x v="446"/>
            <x v="447"/>
            <x v="448"/>
            <x v="449"/>
            <x v="450"/>
            <x v="454"/>
            <x v="456"/>
            <x v="457"/>
            <x v="458"/>
            <x v="460"/>
            <x v="461"/>
            <x v="465"/>
            <x v="466"/>
            <x v="469"/>
            <x v="471"/>
            <x v="472"/>
            <x v="474"/>
            <x v="475"/>
            <x v="476"/>
            <x v="478"/>
            <x v="480"/>
            <x v="481"/>
            <x v="482"/>
            <x v="483"/>
            <x v="484"/>
            <x v="485"/>
            <x v="486"/>
          </reference>
        </references>
      </pivotArea>
    </format>
    <format dxfId="211">
      <pivotArea dataOnly="0" labelOnly="1" grandRow="1" outline="0" fieldPosition="0"/>
    </format>
    <format dxfId="2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38A0B-83C0-4CB3-87C8-510CB3DDBE3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O6:AP12" firstHeaderRow="1" firstDataRow="1" firstDataCol="1"/>
  <pivotFields count="10">
    <pivotField showAll="0"/>
    <pivotField showAll="0"/>
    <pivotField numFmtId="165" showAll="0">
      <items count="488">
        <item x="305"/>
        <item x="13"/>
        <item x="357"/>
        <item x="250"/>
        <item x="439"/>
        <item x="107"/>
        <item x="74"/>
        <item x="391"/>
        <item x="122"/>
        <item x="447"/>
        <item x="142"/>
        <item x="394"/>
        <item x="47"/>
        <item x="182"/>
        <item x="420"/>
        <item x="19"/>
        <item x="8"/>
        <item x="109"/>
        <item x="115"/>
        <item x="217"/>
        <item x="151"/>
        <item x="173"/>
        <item x="320"/>
        <item x="360"/>
        <item x="191"/>
        <item x="387"/>
        <item x="200"/>
        <item x="206"/>
        <item x="228"/>
        <item x="223"/>
        <item x="124"/>
        <item x="186"/>
        <item x="300"/>
        <item x="235"/>
        <item x="39"/>
        <item x="147"/>
        <item x="434"/>
        <item x="29"/>
        <item x="427"/>
        <item x="346"/>
        <item x="350"/>
        <item x="52"/>
        <item x="141"/>
        <item x="482"/>
        <item x="226"/>
        <item x="63"/>
        <item x="177"/>
        <item x="254"/>
        <item x="364"/>
        <item x="316"/>
        <item x="77"/>
        <item x="361"/>
        <item x="176"/>
        <item x="262"/>
        <item x="221"/>
        <item x="1"/>
        <item x="428"/>
        <item x="402"/>
        <item x="112"/>
        <item x="255"/>
        <item x="134"/>
        <item x="359"/>
        <item x="410"/>
        <item x="356"/>
        <item x="432"/>
        <item x="412"/>
        <item x="129"/>
        <item x="332"/>
        <item x="215"/>
        <item x="442"/>
        <item x="355"/>
        <item x="353"/>
        <item x="75"/>
        <item x="307"/>
        <item x="3"/>
        <item x="264"/>
        <item x="145"/>
        <item x="278"/>
        <item x="199"/>
        <item x="32"/>
        <item x="312"/>
        <item x="366"/>
        <item x="317"/>
        <item x="294"/>
        <item x="363"/>
        <item x="322"/>
        <item x="330"/>
        <item x="396"/>
        <item x="187"/>
        <item x="16"/>
        <item x="30"/>
        <item x="345"/>
        <item x="188"/>
        <item x="445"/>
        <item x="449"/>
        <item x="458"/>
        <item x="267"/>
        <item x="417"/>
        <item x="202"/>
        <item x="326"/>
        <item x="168"/>
        <item x="421"/>
        <item x="212"/>
        <item x="325"/>
        <item x="426"/>
        <item x="234"/>
        <item x="131"/>
        <item x="475"/>
        <item x="91"/>
        <item x="456"/>
        <item x="62"/>
        <item x="471"/>
        <item x="14"/>
        <item x="392"/>
        <item x="318"/>
        <item x="413"/>
        <item x="144"/>
        <item x="249"/>
        <item x="358"/>
        <item x="373"/>
        <item x="184"/>
        <item x="446"/>
        <item x="469"/>
        <item x="49"/>
        <item x="40"/>
        <item x="388"/>
        <item x="158"/>
        <item x="349"/>
        <item x="336"/>
        <item x="282"/>
        <item x="474"/>
        <item x="210"/>
        <item x="424"/>
        <item x="72"/>
        <item x="443"/>
        <item x="329"/>
        <item x="110"/>
        <item x="213"/>
        <item x="295"/>
        <item x="54"/>
        <item x="389"/>
        <item x="45"/>
        <item x="258"/>
        <item x="440"/>
        <item x="183"/>
        <item x="166"/>
        <item x="108"/>
        <item x="291"/>
        <item x="472"/>
        <item x="451"/>
        <item x="189"/>
        <item x="411"/>
        <item x="470"/>
        <item x="344"/>
        <item x="400"/>
        <item x="180"/>
        <item x="342"/>
        <item x="15"/>
        <item x="240"/>
        <item x="143"/>
        <item x="93"/>
        <item x="196"/>
        <item x="484"/>
        <item x="104"/>
        <item x="466"/>
        <item x="354"/>
        <item x="480"/>
        <item x="28"/>
        <item x="406"/>
        <item x="385"/>
        <item x="79"/>
        <item x="351"/>
        <item x="453"/>
        <item x="195"/>
        <item x="341"/>
        <item x="90"/>
        <item x="257"/>
        <item x="219"/>
        <item x="319"/>
        <item x="238"/>
        <item x="0"/>
        <item x="381"/>
        <item x="374"/>
        <item x="368"/>
        <item x="73"/>
        <item x="117"/>
        <item x="86"/>
        <item x="272"/>
        <item x="23"/>
        <item x="68"/>
        <item x="398"/>
        <item x="162"/>
        <item x="323"/>
        <item x="301"/>
        <item x="437"/>
        <item x="46"/>
        <item x="174"/>
        <item x="165"/>
        <item x="367"/>
        <item x="328"/>
        <item x="296"/>
        <item x="157"/>
        <item x="25"/>
        <item x="70"/>
        <item x="111"/>
        <item x="280"/>
        <item x="185"/>
        <item x="55"/>
        <item x="233"/>
        <item x="78"/>
        <item x="370"/>
        <item x="386"/>
        <item x="156"/>
        <item x="17"/>
        <item x="148"/>
        <item x="310"/>
        <item x="444"/>
        <item x="246"/>
        <item x="211"/>
        <item x="216"/>
        <item x="371"/>
        <item x="139"/>
        <item x="135"/>
        <item x="270"/>
        <item x="34"/>
        <item x="218"/>
        <item x="87"/>
        <item x="18"/>
        <item x="67"/>
        <item x="22"/>
        <item x="220"/>
        <item x="99"/>
        <item x="94"/>
        <item x="137"/>
        <item x="133"/>
        <item x="154"/>
        <item x="379"/>
        <item x="265"/>
        <item x="399"/>
        <item x="10"/>
        <item x="65"/>
        <item x="275"/>
        <item x="284"/>
        <item x="464"/>
        <item x="242"/>
        <item x="205"/>
        <item x="251"/>
        <item x="164"/>
        <item x="348"/>
        <item x="24"/>
        <item x="430"/>
        <item x="59"/>
        <item x="106"/>
        <item x="53"/>
        <item x="222"/>
        <item x="352"/>
        <item x="283"/>
        <item x="339"/>
        <item x="263"/>
        <item x="152"/>
        <item x="452"/>
        <item x="365"/>
        <item x="313"/>
        <item x="414"/>
        <item x="229"/>
        <item x="194"/>
        <item x="333"/>
        <item x="383"/>
        <item x="290"/>
        <item x="89"/>
        <item x="37"/>
        <item x="127"/>
        <item x="266"/>
        <item x="208"/>
        <item x="423"/>
        <item x="241"/>
        <item x="404"/>
        <item x="268"/>
        <item x="416"/>
        <item x="167"/>
        <item x="293"/>
        <item x="465"/>
        <item x="274"/>
        <item x="71"/>
        <item x="425"/>
        <item x="132"/>
        <item x="102"/>
        <item x="407"/>
        <item x="260"/>
        <item x="56"/>
        <item x="347"/>
        <item x="84"/>
        <item x="83"/>
        <item x="455"/>
        <item x="236"/>
        <item x="273"/>
        <item x="175"/>
        <item x="193"/>
        <item x="181"/>
        <item x="101"/>
        <item x="178"/>
        <item x="123"/>
        <item x="277"/>
        <item x="51"/>
        <item x="163"/>
        <item x="435"/>
        <item x="261"/>
        <item x="289"/>
        <item x="80"/>
        <item x="88"/>
        <item x="279"/>
        <item x="126"/>
        <item x="461"/>
        <item x="269"/>
        <item x="38"/>
        <item x="58"/>
        <item x="149"/>
        <item x="146"/>
        <item x="340"/>
        <item x="61"/>
        <item x="76"/>
        <item x="457"/>
        <item x="243"/>
        <item x="271"/>
        <item x="390"/>
        <item x="460"/>
        <item x="393"/>
        <item x="69"/>
        <item x="375"/>
        <item x="408"/>
        <item x="483"/>
        <item x="197"/>
        <item x="256"/>
        <item x="248"/>
        <item x="150"/>
        <item x="190"/>
        <item x="26"/>
        <item x="140"/>
        <item x="43"/>
        <item x="33"/>
        <item x="401"/>
        <item x="415"/>
        <item x="486"/>
        <item x="287"/>
        <item x="331"/>
        <item x="179"/>
        <item x="450"/>
        <item x="431"/>
        <item x="476"/>
        <item x="372"/>
        <item x="454"/>
        <item x="203"/>
        <item x="481"/>
        <item x="311"/>
        <item x="227"/>
        <item x="42"/>
        <item x="462"/>
        <item x="253"/>
        <item x="169"/>
        <item x="239"/>
        <item x="98"/>
        <item x="252"/>
        <item x="308"/>
        <item x="7"/>
        <item x="245"/>
        <item x="463"/>
        <item x="4"/>
        <item x="225"/>
        <item x="433"/>
        <item x="362"/>
        <item x="95"/>
        <item x="100"/>
        <item x="485"/>
        <item x="121"/>
        <item x="438"/>
        <item x="118"/>
        <item x="448"/>
        <item x="201"/>
        <item x="409"/>
        <item x="337"/>
        <item x="292"/>
        <item x="281"/>
        <item x="321"/>
        <item x="247"/>
        <item x="153"/>
        <item x="429"/>
        <item x="478"/>
        <item x="419"/>
        <item x="380"/>
        <item x="343"/>
        <item x="324"/>
        <item x="468"/>
        <item x="276"/>
        <item x="479"/>
        <item x="259"/>
        <item x="207"/>
        <item x="335"/>
        <item x="20"/>
        <item x="298"/>
        <item x="237"/>
        <item x="327"/>
        <item x="171"/>
        <item x="436"/>
        <item x="198"/>
        <item x="314"/>
        <item x="120"/>
        <item x="2"/>
        <item x="66"/>
        <item x="395"/>
        <item x="473"/>
        <item x="138"/>
        <item x="459"/>
        <item x="161"/>
        <item x="125"/>
        <item x="477"/>
        <item x="41"/>
        <item x="159"/>
        <item x="285"/>
        <item x="103"/>
        <item x="31"/>
        <item x="224"/>
        <item x="204"/>
        <item x="309"/>
        <item x="36"/>
        <item x="418"/>
        <item x="57"/>
        <item x="302"/>
        <item x="315"/>
        <item x="172"/>
        <item x="338"/>
        <item x="6"/>
        <item x="170"/>
        <item x="288"/>
        <item x="113"/>
        <item x="105"/>
        <item x="192"/>
        <item x="155"/>
        <item x="231"/>
        <item x="9"/>
        <item x="119"/>
        <item x="114"/>
        <item x="378"/>
        <item x="82"/>
        <item x="92"/>
        <item x="334"/>
        <item x="422"/>
        <item x="60"/>
        <item x="232"/>
        <item x="21"/>
        <item x="97"/>
        <item x="5"/>
        <item x="64"/>
        <item x="382"/>
        <item x="136"/>
        <item x="209"/>
        <item x="397"/>
        <item x="304"/>
        <item x="128"/>
        <item x="130"/>
        <item x="44"/>
        <item x="50"/>
        <item x="384"/>
        <item x="214"/>
        <item x="116"/>
        <item x="441"/>
        <item x="286"/>
        <item x="27"/>
        <item x="85"/>
        <item x="377"/>
        <item x="160"/>
        <item x="12"/>
        <item x="11"/>
        <item x="405"/>
        <item x="81"/>
        <item x="376"/>
        <item x="35"/>
        <item x="303"/>
        <item x="369"/>
        <item x="467"/>
        <item x="403"/>
        <item x="299"/>
        <item x="96"/>
        <item x="306"/>
        <item x="48"/>
        <item x="244"/>
        <item x="230"/>
        <item x="297"/>
        <item t="default"/>
      </items>
    </pivotField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ait Time (min)" fld="7" subtotal="average" baseField="4" baseItem="4"/>
  </dataFields>
  <formats count="18">
    <format dxfId="251">
      <pivotArea collapsedLevelsAreSubtotals="1" fieldPosition="0">
        <references count="1">
          <reference field="4" count="1">
            <x v="4"/>
          </reference>
        </references>
      </pivotArea>
    </format>
    <format dxfId="250">
      <pivotArea grandRow="1" outline="0" collapsedLevelsAreSubtotals="1" fieldPosition="0"/>
    </format>
    <format dxfId="249">
      <pivotArea collapsedLevelsAreSubtotals="1" fieldPosition="0">
        <references count="1">
          <reference field="4" count="1">
            <x v="3"/>
          </reference>
        </references>
      </pivotArea>
    </format>
    <format dxfId="248">
      <pivotArea collapsedLevelsAreSubtotals="1" fieldPosition="0">
        <references count="1">
          <reference field="4" count="1">
            <x v="2"/>
          </reference>
        </references>
      </pivotArea>
    </format>
    <format dxfId="247">
      <pivotArea collapsedLevelsAreSubtotals="1" fieldPosition="0">
        <references count="1">
          <reference field="4" count="1">
            <x v="1"/>
          </reference>
        </references>
      </pivotArea>
    </format>
    <format dxfId="246">
      <pivotArea collapsedLevelsAreSubtotals="1" fieldPosition="0">
        <references count="1">
          <reference field="4" count="1">
            <x v="0"/>
          </reference>
        </references>
      </pivotArea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4" type="button" dataOnly="0" labelOnly="1" outline="0" axis="axisRow" fieldPosition="0"/>
    </format>
    <format dxfId="242">
      <pivotArea dataOnly="0" labelOnly="1" fieldPosition="0">
        <references count="1">
          <reference field="4" count="0"/>
        </references>
      </pivotArea>
    </format>
    <format dxfId="241">
      <pivotArea dataOnly="0" labelOnly="1" grandRow="1" outline="0" fieldPosition="0"/>
    </format>
    <format dxfId="240">
      <pivotArea dataOnly="0" labelOnly="1" outline="0" axis="axisValues" fieldPosition="0"/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4" type="button" dataOnly="0" labelOnly="1" outline="0" axis="axisRow" fieldPosition="0"/>
    </format>
    <format dxfId="236">
      <pivotArea dataOnly="0" labelOnly="1" fieldPosition="0">
        <references count="1">
          <reference field="4" count="0"/>
        </references>
      </pivotArea>
    </format>
    <format dxfId="235">
      <pivotArea dataOnly="0" labelOnly="1" grandRow="1" outline="0" fieldPosition="0"/>
    </format>
    <format dxfId="2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50FDE-0684-447A-A8D7-70E31027E9D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B10:CC15" firstHeaderRow="1" firstDataRow="1" firstDataCol="1"/>
  <pivotFields count="10">
    <pivotField dataField="1" showAll="0"/>
    <pivotField showAll="0"/>
    <pivotField numFmtId="165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ointment 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87B7B0-EEDA-445A-88B8-C3DA7E502F7C}" name="Table7" displayName="Table7" ref="G3:K14" totalsRowShown="0" headerRowDxfId="39" dataDxfId="38">
  <autoFilter ref="G3:K14" xr:uid="{C387B7B0-EEDA-445A-88B8-C3DA7E502F7C}"/>
  <tableColumns count="5">
    <tableColumn id="1" xr3:uid="{8A097EDD-DEC3-48B8-BC59-045FE3FA0D02}" name="Row Labels" dataDxfId="37"/>
    <tableColumn id="2" xr3:uid="{C0CF90E1-8837-4408-A214-87C0A01D0511}" name="Cancelled" dataDxfId="36"/>
    <tableColumn id="3" xr3:uid="{F9F854BC-8C3A-4ED5-8176-0DF0B1B26986}" name="Completed" dataDxfId="35"/>
    <tableColumn id="4" xr3:uid="{2E2EC6A7-AE02-4452-95E1-B27B87F87058}" name="No Show" dataDxfId="34"/>
    <tableColumn id="5" xr3:uid="{94EC9907-443E-40C7-8420-B785A8CF390B}" name="Grand Total" dataDxfId="3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BC8CD1-A267-4CE7-A7F1-08C33F198FC5}" name="Table4" displayName="Table4" ref="X6:Y13" totalsRowShown="0" headerRowDxfId="32" dataDxfId="31">
  <autoFilter ref="X6:Y13" xr:uid="{C7BC8CD1-A267-4CE7-A7F1-08C33F198FC5}"/>
  <tableColumns count="2">
    <tableColumn id="1" xr3:uid="{B7F50D8B-D138-4213-94D8-2E786F6CD05B}" name="Montly No Show Rate " dataDxfId="30">
      <calculatedColumnFormula>V7/W7</calculatedColumnFormula>
    </tableColumn>
    <tableColumn id="2" xr3:uid="{123914E9-CE45-4912-B72B-0969FD4E0295}" name="Montly Completion Rate" dataDxfId="29">
      <calculatedColumnFormula>U7/W7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956B3-8AA7-4C65-9925-F41A9ECAD944}" name="Table1" displayName="Table1" ref="A1:L498" totalsRowShown="0" headerRowDxfId="28" dataDxfId="26" headerRowBorderDxfId="27" tableBorderDxfId="25">
  <autoFilter ref="A1:L498" xr:uid="{651956B3-8AA7-4C65-9925-F41A9ECAD944}"/>
  <tableColumns count="12">
    <tableColumn id="1" xr3:uid="{7E61070C-3D85-47FB-B313-4751CC4A01B6}" name="Appointment ID" dataDxfId="24"/>
    <tableColumn id="2" xr3:uid="{F1C10DE4-E086-4513-BA14-3201471BC1F4}" name="Patient ID" dataDxfId="23"/>
    <tableColumn id="3" xr3:uid="{94D59472-FB31-450C-B83B-600E30DE42A5}" name="Appointment Date &amp; Time" dataDxfId="22"/>
    <tableColumn id="4" xr3:uid="{C6BF322E-84BA-429F-B6A9-796FB5614DA0}" name="Doctor" dataDxfId="21"/>
    <tableColumn id="5" xr3:uid="{2B6665DA-B969-4A12-A367-04CBC73EF2C7}" name="Department" dataDxfId="20"/>
    <tableColumn id="6" xr3:uid="{A0177871-4091-428A-AD8C-D2C9C9487900}" name="City" dataDxfId="19"/>
    <tableColumn id="7" xr3:uid="{66FD3CF7-B5C1-4497-ACC9-EC41FB365E3D}" name="Status" dataDxfId="18"/>
    <tableColumn id="8" xr3:uid="{576BF714-1BC9-4ECF-8089-44E7792FE968}" name="Wait Time (min)" dataDxfId="17"/>
    <tableColumn id="9" xr3:uid="{E01413CB-6AA2-4077-B8B7-36A86BF8595C}" name="Fee" dataDxfId="16"/>
    <tableColumn id="10" xr3:uid="{896D2AC2-9B26-4B6D-BA95-4A4927F4A6D0}" name="Patient Type" dataDxfId="15"/>
    <tableColumn id="12" xr3:uid="{566AD7F8-F4B4-402C-96A2-BCFBB30ED309}" name="Day" dataDxfId="14">
      <calculatedColumnFormula>TEXT(C2,"dddd")</calculatedColumnFormula>
    </tableColumn>
    <tableColumn id="11" xr3:uid="{3CBD9AC5-3E2B-4A31-B1DF-5AB06FC9F847}" name="Appointment Slot" dataDxfId="13">
      <calculatedColumnFormula>IF(HOUR(C2)&lt;11,"Morning",IF(HOUR(C2)&lt;14,"Afternoon",IF(HOUR(C2)&lt;17,"Evening","Late Evening")))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136AF-6977-44B7-AFB6-78BA4A2D5A41}" name="Table3" displayName="Table3" ref="A502:E506" totalsRowShown="0" headerRowDxfId="12" dataDxfId="11">
  <autoFilter ref="A502:E506" xr:uid="{35C136AF-6977-44B7-AFB6-78BA4A2D5A41}"/>
  <tableColumns count="5">
    <tableColumn id="1" xr3:uid="{2CBC4685-76B1-4A3E-8CA4-10B9266759AC}" name="Status" dataDxfId="10"/>
    <tableColumn id="2" xr3:uid="{92D4B2AE-B75D-43F6-AD96-3490E9939E35}" name="Count" dataDxfId="9"/>
    <tableColumn id="3" xr3:uid="{731A93BC-61AE-490E-AF96-9B9E0E5E8E2E}" name="Rate" dataDxfId="8"/>
    <tableColumn id="4" xr3:uid="{9E400D6D-3FFE-4927-9B02-2886D7D741BE}" name="revenue" dataDxfId="7"/>
    <tableColumn id="5" xr3:uid="{1889CD22-7A3C-4C1F-B0E2-F304189E1388}" name="Average Fee" dataDxfId="6">
      <calculatedColumnFormula>(D503/B503)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6C46-2716-4B1B-B769-B1FC10E49BA7}">
  <dimension ref="A2:CY494"/>
  <sheetViews>
    <sheetView topLeftCell="CT1" zoomScale="85" zoomScaleNormal="85" workbookViewId="0">
      <selection activeCell="DG9" sqref="DG9"/>
    </sheetView>
  </sheetViews>
  <sheetFormatPr defaultRowHeight="14.5" x14ac:dyDescent="0.35"/>
  <cols>
    <col min="1" max="1" width="22.26953125" style="3" bestFit="1" customWidth="1"/>
    <col min="2" max="2" width="17.54296875" style="3" bestFit="1" customWidth="1"/>
    <col min="3" max="3" width="10" style="3" bestFit="1" customWidth="1"/>
    <col min="4" max="4" width="8.1796875" style="3" bestFit="1" customWidth="1"/>
    <col min="5" max="5" width="10.7265625" style="3" bestFit="1" customWidth="1"/>
    <col min="6" max="6" width="8.7265625" style="3"/>
    <col min="7" max="7" width="13.1796875" style="3" bestFit="1" customWidth="1"/>
    <col min="8" max="8" width="14.54296875" style="3" bestFit="1" customWidth="1"/>
    <col min="9" max="9" width="12.90625" style="3" bestFit="1" customWidth="1"/>
    <col min="10" max="10" width="11.08984375" style="3" bestFit="1" customWidth="1"/>
    <col min="11" max="11" width="13.453125" style="3" bestFit="1" customWidth="1"/>
    <col min="12" max="12" width="14.453125" style="3" customWidth="1"/>
    <col min="13" max="13" width="15.54296875" style="3" bestFit="1" customWidth="1"/>
    <col min="14" max="14" width="12.1796875" style="3" bestFit="1" customWidth="1"/>
    <col min="15" max="15" width="8.7265625" style="3"/>
    <col min="16" max="16" width="12.36328125" style="3" bestFit="1" customWidth="1"/>
    <col min="17" max="17" width="12.1796875" style="3" bestFit="1" customWidth="1"/>
    <col min="18" max="18" width="8.7265625" style="3"/>
    <col min="19" max="19" width="22.26953125" style="3" bestFit="1" customWidth="1"/>
    <col min="20" max="20" width="17.54296875" style="3" bestFit="1" customWidth="1"/>
    <col min="21" max="21" width="10" style="3" bestFit="1" customWidth="1"/>
    <col min="22" max="22" width="8.1796875" style="3" bestFit="1" customWidth="1"/>
    <col min="23" max="23" width="10.7265625" style="3" bestFit="1" customWidth="1"/>
    <col min="24" max="24" width="21.36328125" style="3" customWidth="1"/>
    <col min="25" max="25" width="26.08984375" style="3" bestFit="1" customWidth="1"/>
    <col min="26" max="26" width="12.36328125" style="3" bestFit="1" customWidth="1"/>
    <col min="27" max="27" width="12.1796875" style="3" bestFit="1" customWidth="1"/>
    <col min="28" max="28" width="8.7265625" style="3"/>
    <col min="29" max="29" width="18.7265625" style="3" bestFit="1" customWidth="1"/>
    <col min="30" max="30" width="12.1796875" style="3" bestFit="1" customWidth="1"/>
    <col min="31" max="32" width="8.7265625" style="3"/>
    <col min="33" max="33" width="10.7265625" style="3" bestFit="1" customWidth="1"/>
    <col min="34" max="34" width="8.81640625" style="3" bestFit="1" customWidth="1"/>
    <col min="35" max="35" width="10" style="3" bestFit="1" customWidth="1"/>
    <col min="36" max="36" width="8.1796875" style="3" bestFit="1" customWidth="1"/>
    <col min="37" max="37" width="10.7265625" style="3" bestFit="1" customWidth="1"/>
    <col min="38" max="38" width="12.36328125" style="3" bestFit="1" customWidth="1"/>
    <col min="39" max="39" width="14.7265625" style="3" bestFit="1" customWidth="1"/>
    <col min="40" max="40" width="8.7265625" style="3"/>
    <col min="41" max="41" width="15.54296875" style="3" bestFit="1" customWidth="1"/>
    <col min="42" max="42" width="23.90625" style="3" bestFit="1" customWidth="1"/>
    <col min="43" max="43" width="8.7265625" style="3"/>
    <col min="44" max="44" width="12.36328125" style="3" bestFit="1" customWidth="1"/>
    <col min="45" max="45" width="23.90625" style="3" bestFit="1" customWidth="1"/>
    <col min="46" max="46" width="8.7265625" style="3"/>
    <col min="47" max="47" width="12.36328125" style="3" bestFit="1" customWidth="1"/>
    <col min="48" max="49" width="15.26953125" style="3" bestFit="1" customWidth="1"/>
    <col min="50" max="50" width="10.7265625" style="3" bestFit="1" customWidth="1"/>
    <col min="51" max="51" width="22.36328125" style="3" bestFit="1" customWidth="1"/>
    <col min="52" max="52" width="15.81640625" style="3" bestFit="1" customWidth="1"/>
    <col min="53" max="53" width="10.26953125" style="3" bestFit="1" customWidth="1"/>
    <col min="54" max="54" width="8.453125" style="3" bestFit="1" customWidth="1"/>
    <col min="55" max="55" width="10.81640625" style="3" bestFit="1" customWidth="1"/>
    <col min="56" max="56" width="12.36328125" style="3" bestFit="1" customWidth="1"/>
    <col min="57" max="58" width="8.7265625" style="3"/>
    <col min="59" max="59" width="13.1796875" style="3" bestFit="1" customWidth="1"/>
    <col min="60" max="60" width="22.36328125" style="3" bestFit="1" customWidth="1"/>
    <col min="61" max="62" width="8.7265625" style="3"/>
    <col min="63" max="63" width="22.36328125" style="3" bestFit="1" customWidth="1"/>
    <col min="64" max="64" width="15.81640625" style="3" bestFit="1" customWidth="1"/>
    <col min="65" max="65" width="10.26953125" style="3" bestFit="1" customWidth="1"/>
    <col min="66" max="66" width="8.453125" style="3" bestFit="1" customWidth="1"/>
    <col min="67" max="67" width="10.81640625" style="3" bestFit="1" customWidth="1"/>
    <col min="68" max="68" width="12.36328125" style="3" bestFit="1" customWidth="1"/>
    <col min="69" max="69" width="8.7265625" style="3"/>
    <col min="70" max="70" width="22.36328125" style="3" bestFit="1" customWidth="1"/>
    <col min="71" max="71" width="15.81640625" style="3" bestFit="1" customWidth="1"/>
    <col min="72" max="72" width="10.26953125" style="3" bestFit="1" customWidth="1"/>
    <col min="73" max="73" width="8.453125" style="3" bestFit="1" customWidth="1"/>
    <col min="74" max="74" width="10.81640625" style="3" bestFit="1" customWidth="1"/>
    <col min="75" max="75" width="12.36328125" style="3" bestFit="1" customWidth="1"/>
    <col min="76" max="76" width="8.7265625" style="3"/>
    <col min="77" max="77" width="13.1796875" style="3" bestFit="1" customWidth="1"/>
    <col min="78" max="78" width="10.26953125" style="3" bestFit="1" customWidth="1"/>
    <col min="79" max="79" width="8.7265625" style="3"/>
    <col min="80" max="80" width="13.1796875" style="3" bestFit="1" customWidth="1"/>
    <col min="81" max="81" width="22.36328125" style="3" bestFit="1" customWidth="1"/>
    <col min="82" max="82" width="8.7265625" style="3"/>
    <col min="83" max="83" width="22.36328125" style="3" bestFit="1" customWidth="1"/>
    <col min="84" max="84" width="15.81640625" style="3" bestFit="1" customWidth="1"/>
    <col min="85" max="85" width="10.26953125" style="3" bestFit="1" customWidth="1"/>
    <col min="86" max="86" width="8.453125" style="3" bestFit="1" customWidth="1"/>
    <col min="87" max="87" width="10.81640625" style="3" bestFit="1" customWidth="1"/>
    <col min="88" max="88" width="12.36328125" style="3" bestFit="1" customWidth="1"/>
    <col min="89" max="89" width="8.7265625" style="3"/>
    <col min="90" max="90" width="6.7265625" style="3" bestFit="1" customWidth="1"/>
    <col min="91" max="91" width="13.1796875" style="3" bestFit="1" customWidth="1"/>
    <col min="92" max="93" width="8.7265625" style="3"/>
    <col min="94" max="94" width="11.1796875" style="3" bestFit="1" customWidth="1"/>
    <col min="95" max="101" width="8.7265625" style="3"/>
    <col min="102" max="102" width="10.26953125" style="3" bestFit="1" customWidth="1"/>
    <col min="103" max="16384" width="8.7265625" style="3"/>
  </cols>
  <sheetData>
    <row r="2" spans="1:103" x14ac:dyDescent="0.35">
      <c r="J2" s="22"/>
    </row>
    <row r="3" spans="1:103" x14ac:dyDescent="0.35">
      <c r="A3" s="11" t="s">
        <v>763</v>
      </c>
      <c r="B3" s="11" t="s">
        <v>764</v>
      </c>
      <c r="G3" s="23" t="s">
        <v>761</v>
      </c>
      <c r="H3" s="23" t="s">
        <v>20</v>
      </c>
      <c r="I3" s="23" t="s">
        <v>15</v>
      </c>
      <c r="J3" s="23" t="s">
        <v>57</v>
      </c>
      <c r="K3" s="23" t="s">
        <v>762</v>
      </c>
      <c r="M3" s="11" t="s">
        <v>6</v>
      </c>
      <c r="N3" s="3" t="s">
        <v>15</v>
      </c>
      <c r="P3" s="11" t="s">
        <v>6</v>
      </c>
      <c r="Q3" s="3" t="s">
        <v>15</v>
      </c>
      <c r="X3" s="3" t="s">
        <v>770</v>
      </c>
    </row>
    <row r="4" spans="1:103" x14ac:dyDescent="0.35">
      <c r="A4" s="11" t="s">
        <v>4</v>
      </c>
      <c r="B4" s="3" t="s">
        <v>20</v>
      </c>
      <c r="C4" s="3" t="s">
        <v>15</v>
      </c>
      <c r="D4" s="3" t="s">
        <v>57</v>
      </c>
      <c r="E4" s="3" t="s">
        <v>762</v>
      </c>
      <c r="G4" s="3" t="s">
        <v>40</v>
      </c>
      <c r="H4" s="12">
        <v>3</v>
      </c>
      <c r="I4" s="12">
        <v>42</v>
      </c>
      <c r="J4" s="12">
        <v>4</v>
      </c>
      <c r="K4" s="12">
        <v>49</v>
      </c>
    </row>
    <row r="5" spans="1:103" x14ac:dyDescent="0.35">
      <c r="A5" s="3" t="s">
        <v>13</v>
      </c>
      <c r="B5" s="12">
        <v>14</v>
      </c>
      <c r="C5" s="12">
        <v>74</v>
      </c>
      <c r="D5" s="12">
        <v>14</v>
      </c>
      <c r="E5" s="12">
        <v>102</v>
      </c>
      <c r="G5" s="3" t="s">
        <v>23</v>
      </c>
      <c r="H5" s="12">
        <v>8</v>
      </c>
      <c r="I5" s="12">
        <v>33</v>
      </c>
      <c r="J5" s="12">
        <v>9</v>
      </c>
      <c r="K5" s="12">
        <v>50</v>
      </c>
      <c r="M5" s="11" t="s">
        <v>761</v>
      </c>
      <c r="N5" s="3" t="s">
        <v>765</v>
      </c>
      <c r="P5" s="11" t="s">
        <v>761</v>
      </c>
      <c r="Q5" s="3" t="s">
        <v>765</v>
      </c>
      <c r="S5" s="11" t="s">
        <v>763</v>
      </c>
      <c r="T5" s="11" t="s">
        <v>764</v>
      </c>
    </row>
    <row r="6" spans="1:103" x14ac:dyDescent="0.35">
      <c r="A6" s="3" t="s">
        <v>47</v>
      </c>
      <c r="B6" s="12">
        <v>18</v>
      </c>
      <c r="C6" s="12">
        <v>65</v>
      </c>
      <c r="D6" s="12">
        <v>16</v>
      </c>
      <c r="E6" s="12">
        <v>99</v>
      </c>
      <c r="G6" s="3" t="s">
        <v>99</v>
      </c>
      <c r="H6" s="12">
        <v>6</v>
      </c>
      <c r="I6" s="12">
        <v>22</v>
      </c>
      <c r="J6" s="12">
        <v>6</v>
      </c>
      <c r="K6" s="12">
        <v>34</v>
      </c>
      <c r="M6" s="3" t="s">
        <v>13</v>
      </c>
      <c r="N6" s="12">
        <v>55400</v>
      </c>
      <c r="P6" s="3" t="s">
        <v>40</v>
      </c>
      <c r="Q6" s="12">
        <v>20700</v>
      </c>
      <c r="S6" s="11" t="s">
        <v>761</v>
      </c>
      <c r="T6" s="3" t="s">
        <v>20</v>
      </c>
      <c r="U6" s="3" t="s">
        <v>15</v>
      </c>
      <c r="V6" s="3" t="s">
        <v>57</v>
      </c>
      <c r="W6" s="3" t="s">
        <v>762</v>
      </c>
      <c r="X6" s="3" t="s">
        <v>768</v>
      </c>
      <c r="Y6" s="3" t="s">
        <v>769</v>
      </c>
      <c r="AC6" s="11" t="s">
        <v>6</v>
      </c>
      <c r="AD6" s="3" t="s">
        <v>15</v>
      </c>
      <c r="AG6" s="16" t="s">
        <v>761</v>
      </c>
      <c r="AH6" s="16" t="s">
        <v>20</v>
      </c>
      <c r="AI6" s="16" t="s">
        <v>15</v>
      </c>
      <c r="AJ6" s="16" t="s">
        <v>57</v>
      </c>
      <c r="AK6" s="16" t="s">
        <v>762</v>
      </c>
      <c r="AL6" s="3" t="s">
        <v>771</v>
      </c>
      <c r="AM6" s="3" t="s">
        <v>772</v>
      </c>
      <c r="AO6" s="11" t="s">
        <v>761</v>
      </c>
      <c r="AP6" s="3" t="s">
        <v>774</v>
      </c>
      <c r="AR6" s="11" t="s">
        <v>761</v>
      </c>
      <c r="AS6" s="3" t="s">
        <v>774</v>
      </c>
      <c r="AU6" s="24"/>
      <c r="AV6" s="25"/>
      <c r="AW6" s="26"/>
    </row>
    <row r="7" spans="1:103" x14ac:dyDescent="0.35">
      <c r="A7" s="3" t="s">
        <v>41</v>
      </c>
      <c r="B7" s="12">
        <v>10</v>
      </c>
      <c r="C7" s="12">
        <v>70</v>
      </c>
      <c r="D7" s="12">
        <v>20</v>
      </c>
      <c r="E7" s="12">
        <v>100</v>
      </c>
      <c r="G7" s="3" t="s">
        <v>31</v>
      </c>
      <c r="H7" s="12">
        <v>6</v>
      </c>
      <c r="I7" s="12">
        <v>34</v>
      </c>
      <c r="J7" s="12">
        <v>5</v>
      </c>
      <c r="K7" s="12">
        <v>45</v>
      </c>
      <c r="M7" s="3" t="s">
        <v>47</v>
      </c>
      <c r="N7" s="12">
        <v>46900</v>
      </c>
      <c r="P7" s="3" t="s">
        <v>23</v>
      </c>
      <c r="Q7" s="12">
        <v>26400</v>
      </c>
      <c r="S7" s="6">
        <v>46023.489583333336</v>
      </c>
      <c r="T7" s="12"/>
      <c r="U7" s="12">
        <v>1</v>
      </c>
      <c r="V7" s="12"/>
      <c r="W7" s="12">
        <v>1</v>
      </c>
      <c r="X7" s="15">
        <f>V7/W7</f>
        <v>0</v>
      </c>
      <c r="Y7" s="15">
        <f>U7/W7</f>
        <v>1</v>
      </c>
      <c r="AG7" s="3" t="s">
        <v>26</v>
      </c>
      <c r="AH7" s="12">
        <v>39</v>
      </c>
      <c r="AI7" s="12">
        <v>155</v>
      </c>
      <c r="AJ7" s="12">
        <v>43</v>
      </c>
      <c r="AK7" s="12">
        <v>237</v>
      </c>
      <c r="AL7" s="19">
        <f>AJ7/AK7</f>
        <v>0.18143459915611815</v>
      </c>
      <c r="AM7" s="19">
        <f>AI7/AK7</f>
        <v>0.65400843881856541</v>
      </c>
      <c r="AO7" s="3" t="s">
        <v>13</v>
      </c>
      <c r="AP7" s="27">
        <v>20.792079207920793</v>
      </c>
      <c r="AR7" s="3" t="s">
        <v>40</v>
      </c>
      <c r="AS7" s="27">
        <v>23.367346938775512</v>
      </c>
      <c r="AU7" s="28"/>
      <c r="AV7" s="29"/>
      <c r="AW7" s="30"/>
    </row>
    <row r="8" spans="1:103" x14ac:dyDescent="0.35">
      <c r="A8" s="3" t="s">
        <v>24</v>
      </c>
      <c r="B8" s="12">
        <v>27</v>
      </c>
      <c r="C8" s="12">
        <v>66</v>
      </c>
      <c r="D8" s="12">
        <v>18</v>
      </c>
      <c r="E8" s="12">
        <v>111</v>
      </c>
      <c r="G8" s="3" t="s">
        <v>36</v>
      </c>
      <c r="H8" s="12">
        <v>14</v>
      </c>
      <c r="I8" s="12">
        <v>30</v>
      </c>
      <c r="J8" s="12">
        <v>7</v>
      </c>
      <c r="K8" s="12">
        <v>51</v>
      </c>
      <c r="M8" s="3" t="s">
        <v>41</v>
      </c>
      <c r="N8" s="12">
        <v>49500</v>
      </c>
      <c r="P8" s="3" t="s">
        <v>99</v>
      </c>
      <c r="Q8" s="12">
        <v>12800</v>
      </c>
      <c r="S8" s="6">
        <v>46023.510416666664</v>
      </c>
      <c r="T8" s="12">
        <v>1</v>
      </c>
      <c r="U8" s="12"/>
      <c r="V8" s="12"/>
      <c r="W8" s="12">
        <v>1</v>
      </c>
      <c r="X8" s="15">
        <f t="shared" ref="X8:X13" si="0">V8/W8</f>
        <v>0</v>
      </c>
      <c r="Y8" s="15">
        <f t="shared" ref="Y8:Y13" si="1">U8/W8</f>
        <v>0</v>
      </c>
      <c r="AC8" s="11" t="s">
        <v>761</v>
      </c>
      <c r="AD8" s="3" t="s">
        <v>765</v>
      </c>
      <c r="AG8" s="3" t="s">
        <v>16</v>
      </c>
      <c r="AH8" s="12">
        <v>38</v>
      </c>
      <c r="AI8" s="12">
        <v>180</v>
      </c>
      <c r="AJ8" s="12">
        <v>39</v>
      </c>
      <c r="AK8" s="12">
        <v>257</v>
      </c>
      <c r="AL8" s="19">
        <f t="shared" ref="AL8" si="2">AJ8/AK8</f>
        <v>0.1517509727626459</v>
      </c>
      <c r="AM8" s="19">
        <f t="shared" ref="AM8:AM9" si="3">AI8/AK8</f>
        <v>0.70038910505836571</v>
      </c>
      <c r="AO8" s="3" t="s">
        <v>47</v>
      </c>
      <c r="AP8" s="27">
        <v>17</v>
      </c>
      <c r="AR8" s="3" t="s">
        <v>23</v>
      </c>
      <c r="AS8" s="27">
        <v>20.224489795918366</v>
      </c>
      <c r="AU8" s="28"/>
      <c r="AV8" s="29"/>
      <c r="AW8" s="30"/>
      <c r="AY8" s="11" t="s">
        <v>763</v>
      </c>
      <c r="AZ8" s="11" t="s">
        <v>764</v>
      </c>
    </row>
    <row r="9" spans="1:103" x14ac:dyDescent="0.35">
      <c r="A9" s="3" t="s">
        <v>37</v>
      </c>
      <c r="B9" s="12">
        <v>10</v>
      </c>
      <c r="C9" s="12">
        <v>61</v>
      </c>
      <c r="D9" s="12">
        <v>14</v>
      </c>
      <c r="E9" s="12">
        <v>85</v>
      </c>
      <c r="G9" s="3" t="s">
        <v>79</v>
      </c>
      <c r="H9" s="12">
        <v>5</v>
      </c>
      <c r="I9" s="12">
        <v>34</v>
      </c>
      <c r="J9" s="12">
        <v>9</v>
      </c>
      <c r="K9" s="12">
        <v>48</v>
      </c>
      <c r="M9" s="3" t="s">
        <v>24</v>
      </c>
      <c r="N9" s="12">
        <v>46000</v>
      </c>
      <c r="P9" s="3" t="s">
        <v>31</v>
      </c>
      <c r="Q9" s="12">
        <v>33300</v>
      </c>
      <c r="S9" s="6">
        <v>46023.625</v>
      </c>
      <c r="T9" s="12"/>
      <c r="U9" s="12">
        <v>1</v>
      </c>
      <c r="V9" s="12"/>
      <c r="W9" s="12">
        <v>1</v>
      </c>
      <c r="X9" s="15">
        <f t="shared" si="0"/>
        <v>0</v>
      </c>
      <c r="Y9" s="15">
        <f t="shared" si="1"/>
        <v>1</v>
      </c>
      <c r="AC9" s="6">
        <v>46023.489583333336</v>
      </c>
      <c r="AD9" s="12">
        <v>1000</v>
      </c>
      <c r="AG9" s="3" t="s">
        <v>756</v>
      </c>
      <c r="AH9" s="12">
        <v>2</v>
      </c>
      <c r="AI9" s="12">
        <v>1</v>
      </c>
      <c r="AJ9" s="12"/>
      <c r="AK9" s="12">
        <v>3</v>
      </c>
      <c r="AL9" s="19"/>
      <c r="AM9" s="19">
        <f t="shared" si="3"/>
        <v>0.33333333333333331</v>
      </c>
      <c r="AO9" s="3" t="s">
        <v>41</v>
      </c>
      <c r="AP9" s="27">
        <v>21.5</v>
      </c>
      <c r="AR9" s="3" t="s">
        <v>99</v>
      </c>
      <c r="AS9" s="27">
        <v>13.617647058823529</v>
      </c>
      <c r="AU9" s="28"/>
      <c r="AV9" s="29"/>
      <c r="AW9" s="30"/>
      <c r="AY9" s="11" t="s">
        <v>761</v>
      </c>
      <c r="AZ9" s="3" t="s">
        <v>20</v>
      </c>
      <c r="BA9" s="3" t="s">
        <v>15</v>
      </c>
      <c r="BB9" s="3" t="s">
        <v>57</v>
      </c>
      <c r="BC9" s="3" t="s">
        <v>762</v>
      </c>
      <c r="BD9" s="3" t="s">
        <v>771</v>
      </c>
      <c r="BG9" s="11" t="s">
        <v>761</v>
      </c>
      <c r="BH9" s="3" t="s">
        <v>763</v>
      </c>
      <c r="BK9" s="11" t="s">
        <v>763</v>
      </c>
      <c r="BL9" s="11" t="s">
        <v>764</v>
      </c>
      <c r="BR9" s="11" t="s">
        <v>763</v>
      </c>
      <c r="BS9" s="11" t="s">
        <v>764</v>
      </c>
    </row>
    <row r="10" spans="1:103" x14ac:dyDescent="0.35">
      <c r="A10" s="3" t="s">
        <v>762</v>
      </c>
      <c r="B10" s="12">
        <v>79</v>
      </c>
      <c r="C10" s="12">
        <v>336</v>
      </c>
      <c r="D10" s="12">
        <v>82</v>
      </c>
      <c r="E10" s="12">
        <v>497</v>
      </c>
      <c r="G10" s="3" t="s">
        <v>50</v>
      </c>
      <c r="H10" s="12">
        <v>6</v>
      </c>
      <c r="I10" s="12">
        <v>34</v>
      </c>
      <c r="J10" s="12">
        <v>11</v>
      </c>
      <c r="K10" s="12">
        <v>51</v>
      </c>
      <c r="M10" s="3" t="s">
        <v>37</v>
      </c>
      <c r="N10" s="12">
        <v>43900</v>
      </c>
      <c r="P10" s="3" t="s">
        <v>36</v>
      </c>
      <c r="Q10" s="12">
        <v>18000</v>
      </c>
      <c r="S10" s="6">
        <v>46024.635416666664</v>
      </c>
      <c r="T10" s="12"/>
      <c r="U10" s="12"/>
      <c r="V10" s="12">
        <v>1</v>
      </c>
      <c r="W10" s="12">
        <v>1</v>
      </c>
      <c r="X10" s="15">
        <f t="shared" si="0"/>
        <v>1</v>
      </c>
      <c r="Y10" s="15">
        <f t="shared" si="1"/>
        <v>0</v>
      </c>
      <c r="AC10" s="6">
        <v>46023.625</v>
      </c>
      <c r="AD10" s="12">
        <v>900</v>
      </c>
      <c r="AG10" s="17" t="s">
        <v>762</v>
      </c>
      <c r="AH10" s="18">
        <v>79</v>
      </c>
      <c r="AI10" s="18">
        <v>336</v>
      </c>
      <c r="AJ10" s="18">
        <v>82</v>
      </c>
      <c r="AK10" s="18">
        <v>497</v>
      </c>
      <c r="AL10" s="19"/>
      <c r="AM10" s="19"/>
      <c r="AO10" s="3" t="s">
        <v>24</v>
      </c>
      <c r="AP10" s="27">
        <v>18.684684684684683</v>
      </c>
      <c r="AR10" s="3" t="s">
        <v>31</v>
      </c>
      <c r="AS10" s="27">
        <v>29.622222222222224</v>
      </c>
      <c r="AU10" s="28"/>
      <c r="AV10" s="29"/>
      <c r="AW10" s="30"/>
      <c r="AY10" s="3" t="s">
        <v>779</v>
      </c>
      <c r="AZ10" s="12">
        <v>8</v>
      </c>
      <c r="BA10" s="12">
        <v>55</v>
      </c>
      <c r="BB10" s="12">
        <v>15</v>
      </c>
      <c r="BC10" s="12">
        <v>78</v>
      </c>
      <c r="BD10" s="19">
        <f>BB10/BC10</f>
        <v>0.19230769230769232</v>
      </c>
      <c r="BG10" s="3" t="s">
        <v>776</v>
      </c>
      <c r="BH10" s="12">
        <v>73</v>
      </c>
      <c r="BK10" s="11" t="s">
        <v>761</v>
      </c>
      <c r="BL10" s="3" t="s">
        <v>20</v>
      </c>
      <c r="BM10" s="3" t="s">
        <v>15</v>
      </c>
      <c r="BN10" s="3" t="s">
        <v>57</v>
      </c>
      <c r="BO10" s="3" t="s">
        <v>762</v>
      </c>
      <c r="BP10" s="3" t="s">
        <v>771</v>
      </c>
      <c r="BR10" s="11" t="s">
        <v>761</v>
      </c>
      <c r="BS10" s="3" t="s">
        <v>20</v>
      </c>
      <c r="BT10" s="3" t="s">
        <v>15</v>
      </c>
      <c r="BU10" s="3" t="s">
        <v>57</v>
      </c>
      <c r="BV10" s="3" t="s">
        <v>762</v>
      </c>
      <c r="BW10" s="3" t="s">
        <v>771</v>
      </c>
      <c r="BY10" s="13" t="s">
        <v>761</v>
      </c>
      <c r="BZ10" t="s">
        <v>765</v>
      </c>
      <c r="CB10" s="13" t="s">
        <v>761</v>
      </c>
      <c r="CC10" t="s">
        <v>763</v>
      </c>
      <c r="CE10" s="13" t="s">
        <v>763</v>
      </c>
      <c r="CF10" s="13" t="s">
        <v>764</v>
      </c>
      <c r="CG10"/>
      <c r="CH10"/>
      <c r="CI10"/>
      <c r="CJ10"/>
    </row>
    <row r="11" spans="1:103" ht="29" x14ac:dyDescent="0.35">
      <c r="G11" s="3" t="s">
        <v>12</v>
      </c>
      <c r="H11" s="12">
        <v>12</v>
      </c>
      <c r="I11" s="12">
        <v>36</v>
      </c>
      <c r="J11" s="12">
        <v>10</v>
      </c>
      <c r="K11" s="12">
        <v>58</v>
      </c>
      <c r="M11" s="3" t="s">
        <v>762</v>
      </c>
      <c r="N11" s="12">
        <v>241700</v>
      </c>
      <c r="P11" s="3" t="s">
        <v>79</v>
      </c>
      <c r="Q11" s="12">
        <v>24200</v>
      </c>
      <c r="S11" s="6">
        <v>46024.78125</v>
      </c>
      <c r="T11" s="12">
        <v>1</v>
      </c>
      <c r="U11" s="12"/>
      <c r="V11" s="12"/>
      <c r="W11" s="12">
        <v>1</v>
      </c>
      <c r="X11" s="15">
        <f t="shared" si="0"/>
        <v>0</v>
      </c>
      <c r="Y11" s="15">
        <f t="shared" si="1"/>
        <v>0</v>
      </c>
      <c r="AC11" s="6">
        <v>46026.71875</v>
      </c>
      <c r="AD11" s="12">
        <v>800</v>
      </c>
      <c r="AO11" s="3" t="s">
        <v>37</v>
      </c>
      <c r="AP11" s="27">
        <v>19.166666666666668</v>
      </c>
      <c r="AR11" s="3" t="s">
        <v>36</v>
      </c>
      <c r="AS11" s="27">
        <v>12.196078431372548</v>
      </c>
      <c r="AU11" s="28"/>
      <c r="AV11" s="29"/>
      <c r="AW11" s="30"/>
      <c r="AY11" s="3" t="s">
        <v>777</v>
      </c>
      <c r="AZ11" s="12">
        <v>12</v>
      </c>
      <c r="BA11" s="12">
        <v>48</v>
      </c>
      <c r="BB11" s="12">
        <v>16</v>
      </c>
      <c r="BC11" s="12">
        <v>76</v>
      </c>
      <c r="BD11" s="19">
        <f t="shared" ref="BD11:BD17" si="4">BB11/BC11</f>
        <v>0.21052631578947367</v>
      </c>
      <c r="BG11" s="3" t="s">
        <v>777</v>
      </c>
      <c r="BH11" s="12">
        <v>76</v>
      </c>
      <c r="BK11" s="3" t="s">
        <v>784</v>
      </c>
      <c r="BL11" s="12">
        <v>13</v>
      </c>
      <c r="BM11" s="12">
        <v>67</v>
      </c>
      <c r="BN11" s="12">
        <v>20</v>
      </c>
      <c r="BO11" s="12">
        <v>100</v>
      </c>
      <c r="BP11" s="15">
        <f>BN11/BO11</f>
        <v>0.2</v>
      </c>
      <c r="BR11" s="3" t="s">
        <v>40</v>
      </c>
      <c r="BS11" s="12">
        <v>3</v>
      </c>
      <c r="BT11" s="12">
        <v>42</v>
      </c>
      <c r="BU11" s="12">
        <v>4</v>
      </c>
      <c r="BV11" s="12">
        <v>49</v>
      </c>
      <c r="BW11" s="15">
        <f>BU11/BV11</f>
        <v>8.1632653061224483E-2</v>
      </c>
      <c r="BY11" s="9" t="s">
        <v>20</v>
      </c>
      <c r="BZ11" s="10">
        <v>58700</v>
      </c>
      <c r="CB11" s="9" t="s">
        <v>19</v>
      </c>
      <c r="CC11" s="10">
        <v>110</v>
      </c>
      <c r="CE11" s="13" t="s">
        <v>761</v>
      </c>
      <c r="CF11" t="s">
        <v>20</v>
      </c>
      <c r="CG11" t="s">
        <v>15</v>
      </c>
      <c r="CH11" t="s">
        <v>57</v>
      </c>
      <c r="CI11" t="s">
        <v>762</v>
      </c>
      <c r="CJ11" t="s">
        <v>771</v>
      </c>
      <c r="CL11" s="37" t="s">
        <v>793</v>
      </c>
      <c r="CM11" s="39" t="s">
        <v>794</v>
      </c>
      <c r="CP11" s="37" t="s">
        <v>803</v>
      </c>
      <c r="CQ11" s="39" t="s">
        <v>771</v>
      </c>
      <c r="CT11" s="37" t="s">
        <v>775</v>
      </c>
      <c r="CU11" s="39" t="s">
        <v>771</v>
      </c>
      <c r="CX11" s="3" t="s">
        <v>761</v>
      </c>
      <c r="CY11" s="3" t="s">
        <v>771</v>
      </c>
    </row>
    <row r="12" spans="1:103" x14ac:dyDescent="0.35">
      <c r="G12" s="3" t="s">
        <v>46</v>
      </c>
      <c r="H12" s="12">
        <v>6</v>
      </c>
      <c r="I12" s="12">
        <v>33</v>
      </c>
      <c r="J12" s="12">
        <v>11</v>
      </c>
      <c r="K12" s="12">
        <v>50</v>
      </c>
      <c r="P12" s="3" t="s">
        <v>50</v>
      </c>
      <c r="Q12" s="12">
        <v>16900</v>
      </c>
      <c r="S12" s="6">
        <v>46025.75</v>
      </c>
      <c r="T12" s="12">
        <v>1</v>
      </c>
      <c r="U12" s="12"/>
      <c r="V12" s="12"/>
      <c r="W12" s="12">
        <v>1</v>
      </c>
      <c r="X12" s="15">
        <f t="shared" si="0"/>
        <v>0</v>
      </c>
      <c r="Y12" s="15">
        <f t="shared" si="1"/>
        <v>0</v>
      </c>
      <c r="AC12" s="6">
        <v>46027.34375</v>
      </c>
      <c r="AD12" s="12">
        <v>600</v>
      </c>
      <c r="AO12" s="3" t="s">
        <v>762</v>
      </c>
      <c r="AP12" s="27">
        <v>19.428282828282828</v>
      </c>
      <c r="AR12" s="3" t="s">
        <v>79</v>
      </c>
      <c r="AS12" s="27">
        <v>15.9375</v>
      </c>
      <c r="AU12" s="28"/>
      <c r="AV12" s="29"/>
      <c r="AW12" s="30"/>
      <c r="AY12" s="3" t="s">
        <v>781</v>
      </c>
      <c r="AZ12" s="12">
        <v>8</v>
      </c>
      <c r="BA12" s="12">
        <v>44</v>
      </c>
      <c r="BB12" s="12">
        <v>9</v>
      </c>
      <c r="BC12" s="12">
        <v>61</v>
      </c>
      <c r="BD12" s="19">
        <f t="shared" si="4"/>
        <v>0.14754098360655737</v>
      </c>
      <c r="BG12" s="3" t="s">
        <v>778</v>
      </c>
      <c r="BH12" s="12">
        <v>75</v>
      </c>
      <c r="BK12" s="3" t="s">
        <v>785</v>
      </c>
      <c r="BL12" s="12">
        <v>28</v>
      </c>
      <c r="BM12" s="12">
        <v>115</v>
      </c>
      <c r="BN12" s="12">
        <v>24</v>
      </c>
      <c r="BO12" s="12">
        <v>167</v>
      </c>
      <c r="BP12" s="15">
        <f t="shared" ref="BP12:BP15" si="5">BN12/BO12</f>
        <v>0.1437125748502994</v>
      </c>
      <c r="BR12" s="3" t="s">
        <v>23</v>
      </c>
      <c r="BS12" s="12">
        <v>8</v>
      </c>
      <c r="BT12" s="12">
        <v>33</v>
      </c>
      <c r="BU12" s="12">
        <v>9</v>
      </c>
      <c r="BV12" s="12">
        <v>50</v>
      </c>
      <c r="BW12" s="15">
        <f t="shared" ref="BW12:BW21" si="6">BU12/BV12</f>
        <v>0.18</v>
      </c>
      <c r="BY12" s="9" t="s">
        <v>15</v>
      </c>
      <c r="BZ12" s="10">
        <v>241700</v>
      </c>
      <c r="CB12" s="9" t="s">
        <v>25</v>
      </c>
      <c r="CC12" s="10">
        <v>134</v>
      </c>
      <c r="CE12" s="9" t="s">
        <v>26</v>
      </c>
      <c r="CF12" s="10">
        <v>39</v>
      </c>
      <c r="CG12" s="10">
        <v>155</v>
      </c>
      <c r="CH12" s="10">
        <v>43</v>
      </c>
      <c r="CI12" s="10">
        <v>237</v>
      </c>
      <c r="CJ12" s="34">
        <f>CH12/CI12</f>
        <v>0.18143459915611815</v>
      </c>
      <c r="CL12" s="40" t="s">
        <v>795</v>
      </c>
      <c r="CM12" s="38">
        <v>91</v>
      </c>
      <c r="CP12" s="40" t="s">
        <v>784</v>
      </c>
      <c r="CQ12" s="62">
        <v>0.2</v>
      </c>
      <c r="CT12" s="40" t="s">
        <v>779</v>
      </c>
      <c r="CU12" s="63">
        <v>0.1923</v>
      </c>
      <c r="CX12" s="3" t="s">
        <v>40</v>
      </c>
      <c r="CY12" s="15">
        <v>8.1632653061224483E-2</v>
      </c>
    </row>
    <row r="13" spans="1:103" x14ac:dyDescent="0.35">
      <c r="G13" s="3" t="s">
        <v>53</v>
      </c>
      <c r="H13" s="12">
        <v>13</v>
      </c>
      <c r="I13" s="12">
        <v>38</v>
      </c>
      <c r="J13" s="12">
        <v>10</v>
      </c>
      <c r="K13" s="12">
        <v>61</v>
      </c>
      <c r="P13" s="3" t="s">
        <v>12</v>
      </c>
      <c r="Q13" s="12">
        <v>35400</v>
      </c>
      <c r="S13" s="6">
        <v>46026.71875</v>
      </c>
      <c r="T13" s="12"/>
      <c r="U13" s="12">
        <v>1</v>
      </c>
      <c r="V13" s="12"/>
      <c r="W13" s="12">
        <v>1</v>
      </c>
      <c r="X13" s="15">
        <f t="shared" si="0"/>
        <v>0</v>
      </c>
      <c r="Y13" s="15">
        <f t="shared" si="1"/>
        <v>1</v>
      </c>
      <c r="AC13" s="6">
        <v>46027.4375</v>
      </c>
      <c r="AD13" s="12">
        <v>800</v>
      </c>
      <c r="AR13" s="3" t="s">
        <v>50</v>
      </c>
      <c r="AS13" s="27">
        <v>19.579999999999998</v>
      </c>
      <c r="AU13" s="28"/>
      <c r="AV13" s="29"/>
      <c r="AW13" s="30"/>
      <c r="AY13" s="3" t="s">
        <v>782</v>
      </c>
      <c r="AZ13" s="12">
        <v>11</v>
      </c>
      <c r="BA13" s="12">
        <v>44</v>
      </c>
      <c r="BB13" s="12">
        <v>10</v>
      </c>
      <c r="BC13" s="12">
        <v>65</v>
      </c>
      <c r="BD13" s="19">
        <f t="shared" si="4"/>
        <v>0.15384615384615385</v>
      </c>
      <c r="BG13" s="3" t="s">
        <v>779</v>
      </c>
      <c r="BH13" s="12">
        <v>78</v>
      </c>
      <c r="BK13" s="3" t="s">
        <v>786</v>
      </c>
      <c r="BL13" s="12">
        <v>22</v>
      </c>
      <c r="BM13" s="12">
        <v>64</v>
      </c>
      <c r="BN13" s="12">
        <v>19</v>
      </c>
      <c r="BO13" s="12">
        <v>105</v>
      </c>
      <c r="BP13" s="15">
        <f t="shared" si="5"/>
        <v>0.18095238095238095</v>
      </c>
      <c r="BR13" s="3" t="s">
        <v>99</v>
      </c>
      <c r="BS13" s="12">
        <v>6</v>
      </c>
      <c r="BT13" s="12">
        <v>22</v>
      </c>
      <c r="BU13" s="12">
        <v>6</v>
      </c>
      <c r="BV13" s="12">
        <v>34</v>
      </c>
      <c r="BW13" s="15">
        <f t="shared" si="6"/>
        <v>0.17647058823529413</v>
      </c>
      <c r="BY13" s="9" t="s">
        <v>57</v>
      </c>
      <c r="BZ13" s="10">
        <v>59000</v>
      </c>
      <c r="CB13" s="9" t="s">
        <v>14</v>
      </c>
      <c r="CC13" s="10">
        <v>124</v>
      </c>
      <c r="CE13" s="9" t="s">
        <v>16</v>
      </c>
      <c r="CF13" s="10">
        <v>38</v>
      </c>
      <c r="CG13" s="10">
        <v>180</v>
      </c>
      <c r="CH13" s="10">
        <v>39</v>
      </c>
      <c r="CI13" s="10">
        <v>257</v>
      </c>
      <c r="CJ13" s="34">
        <f t="shared" ref="CJ13:CJ15" si="7">CH13/CI13</f>
        <v>0.1517509727626459</v>
      </c>
      <c r="CL13" s="40" t="s">
        <v>796</v>
      </c>
      <c r="CM13" s="38">
        <v>67</v>
      </c>
      <c r="CP13" s="40" t="s">
        <v>785</v>
      </c>
      <c r="CQ13" s="62">
        <v>0.14000000000000001</v>
      </c>
      <c r="CT13" s="40" t="s">
        <v>777</v>
      </c>
      <c r="CU13" s="63">
        <v>0.21049999999999999</v>
      </c>
      <c r="CX13" s="3" t="s">
        <v>23</v>
      </c>
      <c r="CY13" s="15">
        <v>0.18</v>
      </c>
    </row>
    <row r="14" spans="1:103" x14ac:dyDescent="0.35">
      <c r="G14" s="17" t="s">
        <v>762</v>
      </c>
      <c r="H14" s="18">
        <v>79</v>
      </c>
      <c r="I14" s="18">
        <v>336</v>
      </c>
      <c r="J14" s="18">
        <v>82</v>
      </c>
      <c r="K14" s="18">
        <v>497</v>
      </c>
      <c r="P14" s="3" t="s">
        <v>46</v>
      </c>
      <c r="Q14" s="12">
        <v>23600</v>
      </c>
      <c r="S14" s="6">
        <v>46027.34375</v>
      </c>
      <c r="T14" s="12"/>
      <c r="U14" s="12">
        <v>1</v>
      </c>
      <c r="V14" s="12"/>
      <c r="W14" s="12">
        <v>1</v>
      </c>
      <c r="AC14" s="6">
        <v>46028.760416666664</v>
      </c>
      <c r="AD14" s="12">
        <v>800</v>
      </c>
      <c r="AR14" s="3" t="s">
        <v>12</v>
      </c>
      <c r="AS14" s="27">
        <v>22.586206896551722</v>
      </c>
      <c r="AU14" s="28"/>
      <c r="AV14" s="29"/>
      <c r="AW14" s="30"/>
      <c r="AY14" s="3" t="s">
        <v>780</v>
      </c>
      <c r="AZ14" s="12">
        <v>12</v>
      </c>
      <c r="BA14" s="12">
        <v>45</v>
      </c>
      <c r="BB14" s="12">
        <v>12</v>
      </c>
      <c r="BC14" s="12">
        <v>69</v>
      </c>
      <c r="BD14" s="19">
        <f t="shared" si="4"/>
        <v>0.17391304347826086</v>
      </c>
      <c r="BG14" s="3" t="s">
        <v>780</v>
      </c>
      <c r="BH14" s="12">
        <v>69</v>
      </c>
      <c r="BK14" s="3" t="s">
        <v>787</v>
      </c>
      <c r="BL14" s="12">
        <v>16</v>
      </c>
      <c r="BM14" s="12">
        <v>90</v>
      </c>
      <c r="BN14" s="12">
        <v>19</v>
      </c>
      <c r="BO14" s="12">
        <v>125</v>
      </c>
      <c r="BP14" s="15">
        <f t="shared" si="5"/>
        <v>0.152</v>
      </c>
      <c r="BR14" s="3" t="s">
        <v>31</v>
      </c>
      <c r="BS14" s="12">
        <v>6</v>
      </c>
      <c r="BT14" s="12">
        <v>34</v>
      </c>
      <c r="BU14" s="12">
        <v>5</v>
      </c>
      <c r="BV14" s="12">
        <v>45</v>
      </c>
      <c r="BW14" s="15">
        <f t="shared" si="6"/>
        <v>0.1111111111111111</v>
      </c>
      <c r="BY14" s="9" t="s">
        <v>762</v>
      </c>
      <c r="BZ14" s="10">
        <v>359400</v>
      </c>
      <c r="CB14" s="9" t="s">
        <v>54</v>
      </c>
      <c r="CC14" s="10">
        <v>129</v>
      </c>
      <c r="CE14" s="9" t="s">
        <v>756</v>
      </c>
      <c r="CF14" s="10">
        <v>2</v>
      </c>
      <c r="CG14" s="10">
        <v>1</v>
      </c>
      <c r="CH14" s="10"/>
      <c r="CI14" s="10">
        <v>3</v>
      </c>
      <c r="CJ14" s="34">
        <f t="shared" si="7"/>
        <v>0</v>
      </c>
      <c r="CL14" s="40" t="s">
        <v>797</v>
      </c>
      <c r="CM14" s="38">
        <v>86</v>
      </c>
      <c r="CP14" s="40" t="s">
        <v>786</v>
      </c>
      <c r="CQ14" s="62">
        <v>0.18</v>
      </c>
      <c r="CT14" s="40" t="s">
        <v>781</v>
      </c>
      <c r="CU14" s="63">
        <v>0.14749999999999999</v>
      </c>
      <c r="CX14" s="3" t="s">
        <v>99</v>
      </c>
      <c r="CY14" s="15">
        <v>0.17647058823529413</v>
      </c>
    </row>
    <row r="15" spans="1:103" ht="29" x14ac:dyDescent="0.35">
      <c r="P15" s="3" t="s">
        <v>53</v>
      </c>
      <c r="Q15" s="12">
        <v>30400</v>
      </c>
      <c r="S15" s="6">
        <v>46027.4375</v>
      </c>
      <c r="T15" s="12"/>
      <c r="U15" s="12">
        <v>1</v>
      </c>
      <c r="V15" s="12"/>
      <c r="W15" s="12">
        <v>1</v>
      </c>
      <c r="AC15" s="6">
        <v>46029.34375</v>
      </c>
      <c r="AD15" s="12">
        <v>700</v>
      </c>
      <c r="AG15" s="3" t="s">
        <v>802</v>
      </c>
      <c r="AH15" s="3" t="s">
        <v>757</v>
      </c>
      <c r="AR15" s="3" t="s">
        <v>46</v>
      </c>
      <c r="AS15" s="27">
        <v>19.66</v>
      </c>
      <c r="AU15" s="28"/>
      <c r="AV15" s="29"/>
      <c r="AW15" s="30"/>
      <c r="AY15" s="3" t="s">
        <v>776</v>
      </c>
      <c r="AZ15" s="12">
        <v>18</v>
      </c>
      <c r="BA15" s="12">
        <v>44</v>
      </c>
      <c r="BB15" s="12">
        <v>11</v>
      </c>
      <c r="BC15" s="12">
        <v>73</v>
      </c>
      <c r="BD15" s="19">
        <f t="shared" si="4"/>
        <v>0.15068493150684931</v>
      </c>
      <c r="BG15" s="3" t="s">
        <v>781</v>
      </c>
      <c r="BH15" s="12">
        <v>61</v>
      </c>
      <c r="BK15" s="3" t="s">
        <v>762</v>
      </c>
      <c r="BL15" s="12">
        <v>79</v>
      </c>
      <c r="BM15" s="12">
        <v>336</v>
      </c>
      <c r="BN15" s="12">
        <v>82</v>
      </c>
      <c r="BO15" s="12">
        <v>497</v>
      </c>
      <c r="BP15" s="15">
        <f t="shared" si="5"/>
        <v>0.16498993963782696</v>
      </c>
      <c r="BR15" s="3" t="s">
        <v>36</v>
      </c>
      <c r="BS15" s="12">
        <v>14</v>
      </c>
      <c r="BT15" s="12">
        <v>30</v>
      </c>
      <c r="BU15" s="12">
        <v>7</v>
      </c>
      <c r="BV15" s="12">
        <v>51</v>
      </c>
      <c r="BW15" s="15">
        <f t="shared" si="6"/>
        <v>0.13725490196078433</v>
      </c>
      <c r="CB15" s="9" t="s">
        <v>762</v>
      </c>
      <c r="CC15" s="10">
        <v>497</v>
      </c>
      <c r="CE15" s="9" t="s">
        <v>762</v>
      </c>
      <c r="CF15" s="10">
        <v>79</v>
      </c>
      <c r="CG15" s="10">
        <v>336</v>
      </c>
      <c r="CH15" s="10">
        <v>82</v>
      </c>
      <c r="CI15" s="10">
        <v>497</v>
      </c>
      <c r="CJ15" s="34">
        <f t="shared" si="7"/>
        <v>0.16498993963782696</v>
      </c>
      <c r="CL15" s="40" t="s">
        <v>798</v>
      </c>
      <c r="CM15" s="38">
        <v>83</v>
      </c>
      <c r="CP15" s="40" t="s">
        <v>787</v>
      </c>
      <c r="CQ15" s="62">
        <v>0.15</v>
      </c>
      <c r="CT15" s="40" t="s">
        <v>782</v>
      </c>
      <c r="CU15" s="63">
        <v>0.15379999999999999</v>
      </c>
      <c r="CX15" s="3" t="s">
        <v>31</v>
      </c>
      <c r="CY15" s="15">
        <v>0.1111111111111111</v>
      </c>
    </row>
    <row r="16" spans="1:103" x14ac:dyDescent="0.35">
      <c r="P16" s="3" t="s">
        <v>762</v>
      </c>
      <c r="Q16" s="12">
        <v>241700</v>
      </c>
      <c r="S16" s="6">
        <v>46027.708333333336</v>
      </c>
      <c r="T16" s="12">
        <v>1</v>
      </c>
      <c r="U16" s="12"/>
      <c r="V16" s="12"/>
      <c r="W16" s="12">
        <v>1</v>
      </c>
      <c r="AC16" s="6">
        <v>46029.635416666664</v>
      </c>
      <c r="AD16" s="12">
        <v>500</v>
      </c>
      <c r="AG16" s="3" t="s">
        <v>15</v>
      </c>
      <c r="AH16" s="3">
        <v>336</v>
      </c>
      <c r="AR16" s="3" t="s">
        <v>53</v>
      </c>
      <c r="AS16" s="27">
        <v>16.819672131147541</v>
      </c>
      <c r="AU16" s="28"/>
      <c r="AV16" s="29"/>
      <c r="AW16" s="30"/>
      <c r="AY16" s="3" t="s">
        <v>778</v>
      </c>
      <c r="AZ16" s="12">
        <v>10</v>
      </c>
      <c r="BA16" s="12">
        <v>56</v>
      </c>
      <c r="BB16" s="12">
        <v>9</v>
      </c>
      <c r="BC16" s="12">
        <v>75</v>
      </c>
      <c r="BD16" s="19">
        <f t="shared" si="4"/>
        <v>0.12</v>
      </c>
      <c r="BG16" s="3" t="s">
        <v>782</v>
      </c>
      <c r="BH16" s="12">
        <v>65</v>
      </c>
      <c r="BR16" s="3" t="s">
        <v>79</v>
      </c>
      <c r="BS16" s="12">
        <v>5</v>
      </c>
      <c r="BT16" s="12">
        <v>34</v>
      </c>
      <c r="BU16" s="12">
        <v>9</v>
      </c>
      <c r="BV16" s="12">
        <v>48</v>
      </c>
      <c r="BW16" s="15">
        <f t="shared" si="6"/>
        <v>0.1875</v>
      </c>
      <c r="CL16" s="40" t="s">
        <v>799</v>
      </c>
      <c r="CM16" s="38">
        <v>89</v>
      </c>
      <c r="CT16" s="40" t="s">
        <v>780</v>
      </c>
      <c r="CU16" s="63">
        <v>0.1739</v>
      </c>
      <c r="CX16" s="3" t="s">
        <v>36</v>
      </c>
      <c r="CY16" s="15">
        <v>0.13725490196078433</v>
      </c>
    </row>
    <row r="17" spans="19:103" x14ac:dyDescent="0.35">
      <c r="S17" s="6">
        <v>46028.59375</v>
      </c>
      <c r="T17" s="12">
        <v>1</v>
      </c>
      <c r="U17" s="12"/>
      <c r="V17" s="12"/>
      <c r="W17" s="12">
        <v>1</v>
      </c>
      <c r="AC17" s="6">
        <v>46031.614583333336</v>
      </c>
      <c r="AD17" s="12">
        <v>1000</v>
      </c>
      <c r="AG17" s="3" t="s">
        <v>20</v>
      </c>
      <c r="AH17" s="3">
        <v>79</v>
      </c>
      <c r="AR17" s="3" t="s">
        <v>762</v>
      </c>
      <c r="AS17" s="27">
        <v>19.428282828282828</v>
      </c>
      <c r="AU17" s="28"/>
      <c r="AV17" s="29"/>
      <c r="AW17" s="30"/>
      <c r="AY17" s="3" t="s">
        <v>762</v>
      </c>
      <c r="AZ17" s="12">
        <v>79</v>
      </c>
      <c r="BA17" s="12">
        <v>336</v>
      </c>
      <c r="BB17" s="12">
        <v>82</v>
      </c>
      <c r="BC17" s="12">
        <v>497</v>
      </c>
      <c r="BD17" s="19">
        <f t="shared" si="4"/>
        <v>0.16498993963782696</v>
      </c>
      <c r="BG17" s="3" t="s">
        <v>762</v>
      </c>
      <c r="BH17" s="12">
        <v>497</v>
      </c>
      <c r="BR17" s="3" t="s">
        <v>50</v>
      </c>
      <c r="BS17" s="12">
        <v>6</v>
      </c>
      <c r="BT17" s="12">
        <v>34</v>
      </c>
      <c r="BU17" s="12">
        <v>11</v>
      </c>
      <c r="BV17" s="12">
        <v>51</v>
      </c>
      <c r="BW17" s="15">
        <f t="shared" si="6"/>
        <v>0.21568627450980393</v>
      </c>
      <c r="CL17" s="40" t="s">
        <v>800</v>
      </c>
      <c r="CM17" s="38">
        <v>81</v>
      </c>
      <c r="CT17" s="40" t="s">
        <v>776</v>
      </c>
      <c r="CU17" s="63">
        <v>0.1507</v>
      </c>
      <c r="CX17" s="3" t="s">
        <v>79</v>
      </c>
      <c r="CY17" s="15">
        <v>0.1875</v>
      </c>
    </row>
    <row r="18" spans="19:103" x14ac:dyDescent="0.35">
      <c r="S18" s="6">
        <v>46028.760416666664</v>
      </c>
      <c r="T18" s="12"/>
      <c r="U18" s="12">
        <v>1</v>
      </c>
      <c r="V18" s="12"/>
      <c r="W18" s="12">
        <v>1</v>
      </c>
      <c r="AC18" s="6">
        <v>46032.53125</v>
      </c>
      <c r="AD18" s="12">
        <v>800</v>
      </c>
      <c r="AG18" s="3" t="s">
        <v>57</v>
      </c>
      <c r="AH18" s="3">
        <v>82</v>
      </c>
      <c r="AU18" s="28"/>
      <c r="AV18" s="29"/>
      <c r="AW18" s="30"/>
      <c r="AZ18" s="22"/>
      <c r="BR18" s="3" t="s">
        <v>12</v>
      </c>
      <c r="BS18" s="12">
        <v>12</v>
      </c>
      <c r="BT18" s="12">
        <v>36</v>
      </c>
      <c r="BU18" s="12">
        <v>10</v>
      </c>
      <c r="BV18" s="12">
        <v>58</v>
      </c>
      <c r="BW18" s="15">
        <f t="shared" si="6"/>
        <v>0.17241379310344829</v>
      </c>
      <c r="CT18" s="40" t="s">
        <v>778</v>
      </c>
      <c r="CU18" s="63">
        <v>0.12</v>
      </c>
      <c r="CX18" s="3" t="s">
        <v>50</v>
      </c>
      <c r="CY18" s="15">
        <v>0.21568627450980393</v>
      </c>
    </row>
    <row r="19" spans="19:103" x14ac:dyDescent="0.35">
      <c r="S19" s="6">
        <v>46029.34375</v>
      </c>
      <c r="T19" s="12"/>
      <c r="U19" s="12">
        <v>1</v>
      </c>
      <c r="V19" s="12"/>
      <c r="W19" s="12">
        <v>1</v>
      </c>
      <c r="AC19" s="6">
        <v>46032.65625</v>
      </c>
      <c r="AD19" s="12">
        <v>700</v>
      </c>
      <c r="AU19" s="28"/>
      <c r="AV19" s="29"/>
      <c r="AW19" s="30"/>
      <c r="AZ19" s="22"/>
      <c r="BR19" s="3" t="s">
        <v>46</v>
      </c>
      <c r="BS19" s="12">
        <v>6</v>
      </c>
      <c r="BT19" s="12">
        <v>33</v>
      </c>
      <c r="BU19" s="12">
        <v>11</v>
      </c>
      <c r="BV19" s="12">
        <v>50</v>
      </c>
      <c r="BW19" s="15">
        <f t="shared" si="6"/>
        <v>0.22</v>
      </c>
      <c r="CX19" s="3" t="s">
        <v>12</v>
      </c>
      <c r="CY19" s="15">
        <v>0.17241379310344829</v>
      </c>
    </row>
    <row r="20" spans="19:103" x14ac:dyDescent="0.35">
      <c r="S20" s="6">
        <v>46029.447916666664</v>
      </c>
      <c r="T20" s="12">
        <v>1</v>
      </c>
      <c r="U20" s="12"/>
      <c r="V20" s="12"/>
      <c r="W20" s="12">
        <v>1</v>
      </c>
      <c r="AC20" s="6">
        <v>46033.489583333336</v>
      </c>
      <c r="AD20" s="12">
        <v>400</v>
      </c>
      <c r="AU20" s="28"/>
      <c r="AV20" s="29"/>
      <c r="AW20" s="30"/>
      <c r="AZ20" s="22"/>
      <c r="BR20" s="3" t="s">
        <v>53</v>
      </c>
      <c r="BS20" s="12">
        <v>13</v>
      </c>
      <c r="BT20" s="12">
        <v>38</v>
      </c>
      <c r="BU20" s="12">
        <v>10</v>
      </c>
      <c r="BV20" s="12">
        <v>61</v>
      </c>
      <c r="BW20" s="15">
        <f t="shared" si="6"/>
        <v>0.16393442622950818</v>
      </c>
      <c r="CX20" s="3" t="s">
        <v>46</v>
      </c>
      <c r="CY20" s="15">
        <v>0.22</v>
      </c>
    </row>
    <row r="21" spans="19:103" x14ac:dyDescent="0.35">
      <c r="S21" s="6">
        <v>46029.635416666664</v>
      </c>
      <c r="T21" s="12"/>
      <c r="U21" s="12">
        <v>1</v>
      </c>
      <c r="V21" s="12"/>
      <c r="W21" s="12">
        <v>1</v>
      </c>
      <c r="AC21" s="6">
        <v>46034.34375</v>
      </c>
      <c r="AD21" s="12">
        <v>900</v>
      </c>
      <c r="AU21" s="28"/>
      <c r="AV21" s="29"/>
      <c r="AW21" s="30"/>
      <c r="AZ21" s="22"/>
      <c r="BR21" s="3" t="s">
        <v>762</v>
      </c>
      <c r="BS21" s="12">
        <v>79</v>
      </c>
      <c r="BT21" s="12">
        <v>336</v>
      </c>
      <c r="BU21" s="12">
        <v>82</v>
      </c>
      <c r="BV21" s="12">
        <v>497</v>
      </c>
      <c r="BW21" s="15">
        <f t="shared" si="6"/>
        <v>0.16498993963782696</v>
      </c>
      <c r="CX21" s="3" t="s">
        <v>53</v>
      </c>
      <c r="CY21" s="15">
        <v>0.16393442622950818</v>
      </c>
    </row>
    <row r="22" spans="19:103" x14ac:dyDescent="0.35">
      <c r="S22" s="6">
        <v>46031.583333333336</v>
      </c>
      <c r="T22" s="12">
        <v>1</v>
      </c>
      <c r="U22" s="12"/>
      <c r="V22" s="12"/>
      <c r="W22" s="12">
        <v>1</v>
      </c>
      <c r="AC22" s="6">
        <v>46034.53125</v>
      </c>
      <c r="AD22" s="12">
        <v>800</v>
      </c>
      <c r="AU22" s="28"/>
      <c r="AV22" s="29"/>
      <c r="AW22" s="30"/>
      <c r="AZ22" s="22"/>
    </row>
    <row r="23" spans="19:103" x14ac:dyDescent="0.35">
      <c r="S23" s="6">
        <v>46031.614583333336</v>
      </c>
      <c r="T23" s="12"/>
      <c r="U23" s="12">
        <v>1</v>
      </c>
      <c r="V23" s="12"/>
      <c r="W23" s="12">
        <v>1</v>
      </c>
      <c r="AC23" s="6">
        <v>46036.75</v>
      </c>
      <c r="AD23" s="12">
        <v>1000</v>
      </c>
      <c r="AU23" s="31"/>
      <c r="AV23" s="32"/>
      <c r="AW23" s="33"/>
      <c r="AZ23" s="22"/>
    </row>
    <row r="24" spans="19:103" x14ac:dyDescent="0.35">
      <c r="S24" s="6">
        <v>46031.770833333336</v>
      </c>
      <c r="T24" s="12"/>
      <c r="U24" s="12"/>
      <c r="V24" s="12">
        <v>1</v>
      </c>
      <c r="W24" s="12">
        <v>1</v>
      </c>
      <c r="AC24" s="6">
        <v>46036.760416666664</v>
      </c>
      <c r="AD24" s="12">
        <v>900</v>
      </c>
      <c r="AZ24" s="22"/>
    </row>
    <row r="25" spans="19:103" x14ac:dyDescent="0.35">
      <c r="S25" s="6">
        <v>46032.53125</v>
      </c>
      <c r="T25" s="12"/>
      <c r="U25" s="12">
        <v>1</v>
      </c>
      <c r="V25" s="12"/>
      <c r="W25" s="12">
        <v>1</v>
      </c>
      <c r="AC25" s="6">
        <v>46036.78125</v>
      </c>
      <c r="AD25" s="12">
        <v>500</v>
      </c>
      <c r="AZ25" s="22"/>
    </row>
    <row r="26" spans="19:103" x14ac:dyDescent="0.35">
      <c r="S26" s="6">
        <v>46032.65625</v>
      </c>
      <c r="T26" s="12"/>
      <c r="U26" s="12">
        <v>1</v>
      </c>
      <c r="V26" s="12"/>
      <c r="W26" s="12">
        <v>1</v>
      </c>
      <c r="AC26" s="6">
        <v>46037.677083333336</v>
      </c>
      <c r="AD26" s="12">
        <v>700</v>
      </c>
      <c r="AZ26" s="22"/>
    </row>
    <row r="27" spans="19:103" x14ac:dyDescent="0.35">
      <c r="S27" s="6">
        <v>46033.489583333336</v>
      </c>
      <c r="T27" s="12"/>
      <c r="U27" s="12">
        <v>1</v>
      </c>
      <c r="V27" s="12"/>
      <c r="W27" s="12">
        <v>1</v>
      </c>
      <c r="AC27" s="6">
        <v>46038.40625</v>
      </c>
      <c r="AD27" s="12">
        <v>600</v>
      </c>
      <c r="AZ27" s="22"/>
    </row>
    <row r="28" spans="19:103" x14ac:dyDescent="0.35">
      <c r="S28" s="6">
        <v>46033.604166666664</v>
      </c>
      <c r="T28" s="12">
        <v>1</v>
      </c>
      <c r="U28" s="12"/>
      <c r="V28" s="12"/>
      <c r="W28" s="12">
        <v>1</v>
      </c>
      <c r="AC28" s="6">
        <v>46038.697916666664</v>
      </c>
      <c r="AD28" s="12">
        <v>700</v>
      </c>
      <c r="AZ28" s="22"/>
    </row>
    <row r="29" spans="19:103" x14ac:dyDescent="0.35">
      <c r="S29" s="6">
        <v>46034.34375</v>
      </c>
      <c r="T29" s="12"/>
      <c r="U29" s="12">
        <v>1</v>
      </c>
      <c r="V29" s="12">
        <v>1</v>
      </c>
      <c r="W29" s="12">
        <v>2</v>
      </c>
      <c r="AC29" s="6">
        <v>46039.739583333336</v>
      </c>
      <c r="AD29" s="12">
        <v>800</v>
      </c>
      <c r="AZ29" s="22"/>
    </row>
    <row r="30" spans="19:103" x14ac:dyDescent="0.35">
      <c r="S30" s="6">
        <v>46034.53125</v>
      </c>
      <c r="T30" s="12"/>
      <c r="U30" s="12">
        <v>1</v>
      </c>
      <c r="V30" s="12"/>
      <c r="W30" s="12">
        <v>1</v>
      </c>
      <c r="AC30" s="6">
        <v>46040.375</v>
      </c>
      <c r="AD30" s="12">
        <v>700</v>
      </c>
      <c r="AZ30" s="22"/>
    </row>
    <row r="31" spans="19:103" x14ac:dyDescent="0.35">
      <c r="S31" s="6">
        <v>46034.770833333336</v>
      </c>
      <c r="T31" s="12"/>
      <c r="U31" s="12"/>
      <c r="V31" s="12">
        <v>1</v>
      </c>
      <c r="W31" s="12">
        <v>1</v>
      </c>
      <c r="AC31" s="6">
        <v>46041.34375</v>
      </c>
      <c r="AD31" s="12">
        <v>900</v>
      </c>
      <c r="AZ31" s="22"/>
    </row>
    <row r="32" spans="19:103" x14ac:dyDescent="0.35">
      <c r="S32" s="6">
        <v>46036.75</v>
      </c>
      <c r="T32" s="12"/>
      <c r="U32" s="12">
        <v>1</v>
      </c>
      <c r="V32" s="12"/>
      <c r="W32" s="12">
        <v>1</v>
      </c>
      <c r="AC32" s="6">
        <v>46041.59375</v>
      </c>
      <c r="AD32" s="12">
        <v>400</v>
      </c>
      <c r="AZ32" s="22"/>
    </row>
    <row r="33" spans="19:52" x14ac:dyDescent="0.35">
      <c r="S33" s="6">
        <v>46036.760416666664</v>
      </c>
      <c r="T33" s="12"/>
      <c r="U33" s="12">
        <v>1</v>
      </c>
      <c r="V33" s="12"/>
      <c r="W33" s="12">
        <v>1</v>
      </c>
      <c r="AC33" s="6">
        <v>46042.479166666664</v>
      </c>
      <c r="AD33" s="12">
        <v>800</v>
      </c>
      <c r="AZ33" s="22"/>
    </row>
    <row r="34" spans="19:52" x14ac:dyDescent="0.35">
      <c r="S34" s="6">
        <v>46036.78125</v>
      </c>
      <c r="T34" s="12"/>
      <c r="U34" s="12">
        <v>1</v>
      </c>
      <c r="V34" s="12"/>
      <c r="W34" s="12">
        <v>1</v>
      </c>
      <c r="AC34" s="6">
        <v>46042.510416666664</v>
      </c>
      <c r="AD34" s="12">
        <v>600</v>
      </c>
      <c r="AZ34" s="22"/>
    </row>
    <row r="35" spans="19:52" x14ac:dyDescent="0.35">
      <c r="S35" s="6">
        <v>46037.677083333336</v>
      </c>
      <c r="T35" s="12">
        <v>1</v>
      </c>
      <c r="U35" s="12">
        <v>1</v>
      </c>
      <c r="V35" s="12"/>
      <c r="W35" s="12">
        <v>2</v>
      </c>
      <c r="AC35" s="6">
        <v>46042.71875</v>
      </c>
      <c r="AD35" s="12">
        <v>700</v>
      </c>
      <c r="AZ35" s="22"/>
    </row>
    <row r="36" spans="19:52" x14ac:dyDescent="0.35">
      <c r="S36" s="6">
        <v>46038.40625</v>
      </c>
      <c r="T36" s="12"/>
      <c r="U36" s="12">
        <v>1</v>
      </c>
      <c r="V36" s="12"/>
      <c r="W36" s="12">
        <v>1</v>
      </c>
      <c r="AC36" s="6">
        <v>46042.75</v>
      </c>
      <c r="AD36" s="12">
        <v>400</v>
      </c>
      <c r="AZ36" s="22"/>
    </row>
    <row r="37" spans="19:52" x14ac:dyDescent="0.35">
      <c r="S37" s="6">
        <v>46038.697916666664</v>
      </c>
      <c r="T37" s="12"/>
      <c r="U37" s="12">
        <v>1</v>
      </c>
      <c r="V37" s="12"/>
      <c r="W37" s="12">
        <v>1</v>
      </c>
      <c r="AC37" s="6">
        <v>46042.760416666664</v>
      </c>
      <c r="AD37" s="12">
        <v>700</v>
      </c>
      <c r="AZ37" s="22"/>
    </row>
    <row r="38" spans="19:52" x14ac:dyDescent="0.35">
      <c r="S38" s="6">
        <v>46039.53125</v>
      </c>
      <c r="T38" s="12"/>
      <c r="U38" s="12"/>
      <c r="V38" s="12">
        <v>1</v>
      </c>
      <c r="W38" s="12">
        <v>1</v>
      </c>
      <c r="AC38" s="6">
        <v>46043.604166666664</v>
      </c>
      <c r="AD38" s="12">
        <v>700</v>
      </c>
      <c r="AZ38" s="22"/>
    </row>
    <row r="39" spans="19:52" x14ac:dyDescent="0.35">
      <c r="S39" s="6">
        <v>46039.739583333336</v>
      </c>
      <c r="T39" s="12"/>
      <c r="U39" s="12">
        <v>1</v>
      </c>
      <c r="V39" s="12"/>
      <c r="W39" s="12">
        <v>1</v>
      </c>
      <c r="AC39" s="6">
        <v>46043.614583333336</v>
      </c>
      <c r="AD39" s="12">
        <v>500</v>
      </c>
      <c r="AZ39" s="22"/>
    </row>
    <row r="40" spans="19:52" x14ac:dyDescent="0.35">
      <c r="S40" s="6">
        <v>46040.375</v>
      </c>
      <c r="T40" s="12"/>
      <c r="U40" s="12">
        <v>1</v>
      </c>
      <c r="V40" s="12"/>
      <c r="W40" s="12">
        <v>1</v>
      </c>
      <c r="AC40" s="6">
        <v>46043.71875</v>
      </c>
      <c r="AD40" s="12">
        <v>900</v>
      </c>
      <c r="AZ40" s="22"/>
    </row>
    <row r="41" spans="19:52" x14ac:dyDescent="0.35">
      <c r="S41" s="6">
        <v>46040.520833333336</v>
      </c>
      <c r="T41" s="12"/>
      <c r="U41" s="12"/>
      <c r="V41" s="12">
        <v>1</v>
      </c>
      <c r="W41" s="12">
        <v>1</v>
      </c>
      <c r="AC41" s="6">
        <v>46044.625</v>
      </c>
      <c r="AD41" s="12">
        <v>400</v>
      </c>
      <c r="AZ41" s="22"/>
    </row>
    <row r="42" spans="19:52" x14ac:dyDescent="0.35">
      <c r="S42" s="6">
        <v>46040.697916666664</v>
      </c>
      <c r="T42" s="12"/>
      <c r="U42" s="12"/>
      <c r="V42" s="12">
        <v>1</v>
      </c>
      <c r="W42" s="12">
        <v>1</v>
      </c>
      <c r="AC42" s="6">
        <v>46044.770833333336</v>
      </c>
      <c r="AD42" s="12">
        <v>800</v>
      </c>
      <c r="AZ42" s="22"/>
    </row>
    <row r="43" spans="19:52" x14ac:dyDescent="0.35">
      <c r="S43" s="6">
        <v>46041.34375</v>
      </c>
      <c r="T43" s="12"/>
      <c r="U43" s="12">
        <v>1</v>
      </c>
      <c r="V43" s="12"/>
      <c r="W43" s="12">
        <v>1</v>
      </c>
      <c r="AC43" s="6">
        <v>46045.625</v>
      </c>
      <c r="AD43" s="12">
        <v>500</v>
      </c>
      <c r="AZ43" s="22"/>
    </row>
    <row r="44" spans="19:52" x14ac:dyDescent="0.35">
      <c r="S44" s="6">
        <v>46041.364583333336</v>
      </c>
      <c r="T44" s="12">
        <v>1</v>
      </c>
      <c r="U44" s="12"/>
      <c r="V44" s="12"/>
      <c r="W44" s="12">
        <v>1</v>
      </c>
      <c r="AC44" s="6">
        <v>46046.46875</v>
      </c>
      <c r="AD44" s="12">
        <v>600</v>
      </c>
      <c r="AZ44" s="22"/>
    </row>
    <row r="45" spans="19:52" x14ac:dyDescent="0.35">
      <c r="S45" s="6">
        <v>46041.59375</v>
      </c>
      <c r="T45" s="12"/>
      <c r="U45" s="12">
        <v>1</v>
      </c>
      <c r="V45" s="12"/>
      <c r="W45" s="12">
        <v>1</v>
      </c>
      <c r="AC45" s="6">
        <v>46046.59375</v>
      </c>
      <c r="AD45" s="12">
        <v>500</v>
      </c>
      <c r="AZ45" s="22"/>
    </row>
    <row r="46" spans="19:52" x14ac:dyDescent="0.35">
      <c r="S46" s="6">
        <v>46041.614583333336</v>
      </c>
      <c r="T46" s="12">
        <v>1</v>
      </c>
      <c r="U46" s="12"/>
      <c r="V46" s="12"/>
      <c r="W46" s="12">
        <v>1</v>
      </c>
      <c r="AC46" s="6">
        <v>46046.604166666664</v>
      </c>
      <c r="AD46" s="12">
        <v>500</v>
      </c>
      <c r="AZ46" s="22"/>
    </row>
    <row r="47" spans="19:52" x14ac:dyDescent="0.35">
      <c r="S47" s="6">
        <v>46042.479166666664</v>
      </c>
      <c r="T47" s="12"/>
      <c r="U47" s="12">
        <v>1</v>
      </c>
      <c r="V47" s="12"/>
      <c r="W47" s="12">
        <v>1</v>
      </c>
      <c r="AC47" s="6">
        <v>46046.625</v>
      </c>
      <c r="AD47" s="12">
        <v>400</v>
      </c>
      <c r="AZ47" s="22"/>
    </row>
    <row r="48" spans="19:52" x14ac:dyDescent="0.35">
      <c r="S48" s="6">
        <v>46042.510416666664</v>
      </c>
      <c r="T48" s="12"/>
      <c r="U48" s="12">
        <v>1</v>
      </c>
      <c r="V48" s="12"/>
      <c r="W48" s="12">
        <v>1</v>
      </c>
      <c r="AC48" s="6">
        <v>46046.65625</v>
      </c>
      <c r="AD48" s="12">
        <v>900</v>
      </c>
      <c r="AZ48" s="22"/>
    </row>
    <row r="49" spans="19:52" x14ac:dyDescent="0.35">
      <c r="S49" s="6">
        <v>46042.614583333336</v>
      </c>
      <c r="T49" s="12">
        <v>1</v>
      </c>
      <c r="U49" s="12"/>
      <c r="V49" s="12"/>
      <c r="W49" s="12">
        <v>1</v>
      </c>
      <c r="AC49" s="6">
        <v>46046.71875</v>
      </c>
      <c r="AD49" s="12">
        <v>900</v>
      </c>
      <c r="AZ49" s="22"/>
    </row>
    <row r="50" spans="19:52" x14ac:dyDescent="0.35">
      <c r="S50" s="6">
        <v>46042.71875</v>
      </c>
      <c r="T50" s="12"/>
      <c r="U50" s="12">
        <v>1</v>
      </c>
      <c r="V50" s="12"/>
      <c r="W50" s="12">
        <v>1</v>
      </c>
      <c r="AC50" s="6">
        <v>46046.739583333336</v>
      </c>
      <c r="AD50" s="12">
        <v>700</v>
      </c>
      <c r="AZ50" s="22"/>
    </row>
    <row r="51" spans="19:52" x14ac:dyDescent="0.35">
      <c r="S51" s="6">
        <v>46042.75</v>
      </c>
      <c r="T51" s="12"/>
      <c r="U51" s="12">
        <v>1</v>
      </c>
      <c r="V51" s="12"/>
      <c r="W51" s="12">
        <v>1</v>
      </c>
      <c r="AC51" s="6">
        <v>46047.458333333336</v>
      </c>
      <c r="AD51" s="12">
        <v>700</v>
      </c>
      <c r="AZ51" s="22"/>
    </row>
    <row r="52" spans="19:52" x14ac:dyDescent="0.35">
      <c r="S52" s="6">
        <v>46042.760416666664</v>
      </c>
      <c r="T52" s="12"/>
      <c r="U52" s="12">
        <v>1</v>
      </c>
      <c r="V52" s="12"/>
      <c r="W52" s="12">
        <v>1</v>
      </c>
      <c r="AC52" s="6">
        <v>46047.666666666664</v>
      </c>
      <c r="AD52" s="12">
        <v>500</v>
      </c>
      <c r="AZ52" s="22"/>
    </row>
    <row r="53" spans="19:52" x14ac:dyDescent="0.35">
      <c r="S53" s="6">
        <v>46043.604166666664</v>
      </c>
      <c r="T53" s="12"/>
      <c r="U53" s="12">
        <v>1</v>
      </c>
      <c r="V53" s="12"/>
      <c r="W53" s="12">
        <v>1</v>
      </c>
      <c r="AC53" s="6">
        <v>46048.416666666664</v>
      </c>
      <c r="AD53" s="12">
        <v>700</v>
      </c>
      <c r="AZ53" s="22"/>
    </row>
    <row r="54" spans="19:52" x14ac:dyDescent="0.35">
      <c r="S54" s="6">
        <v>46043.614583333336</v>
      </c>
      <c r="T54" s="12"/>
      <c r="U54" s="12">
        <v>1</v>
      </c>
      <c r="V54" s="12"/>
      <c r="W54" s="12">
        <v>1</v>
      </c>
      <c r="AC54" s="6">
        <v>46048.489583333336</v>
      </c>
      <c r="AD54" s="12">
        <v>1000</v>
      </c>
      <c r="AZ54" s="22"/>
    </row>
    <row r="55" spans="19:52" x14ac:dyDescent="0.35">
      <c r="S55" s="6">
        <v>46043.635416666664</v>
      </c>
      <c r="T55" s="12"/>
      <c r="U55" s="12"/>
      <c r="V55" s="12">
        <v>1</v>
      </c>
      <c r="W55" s="12">
        <v>1</v>
      </c>
      <c r="AC55" s="6">
        <v>46048.59375</v>
      </c>
      <c r="AD55" s="12">
        <v>900</v>
      </c>
      <c r="AZ55" s="22"/>
    </row>
    <row r="56" spans="19:52" x14ac:dyDescent="0.35">
      <c r="S56" s="6">
        <v>46043.71875</v>
      </c>
      <c r="T56" s="12"/>
      <c r="U56" s="12">
        <v>1</v>
      </c>
      <c r="V56" s="12"/>
      <c r="W56" s="12">
        <v>1</v>
      </c>
      <c r="AC56" s="6">
        <v>46048.677083333336</v>
      </c>
      <c r="AD56" s="12">
        <v>600</v>
      </c>
      <c r="AZ56" s="22"/>
    </row>
    <row r="57" spans="19:52" x14ac:dyDescent="0.35">
      <c r="S57" s="6">
        <v>46044.458333333336</v>
      </c>
      <c r="T57" s="12">
        <v>1</v>
      </c>
      <c r="U57" s="12"/>
      <c r="V57" s="12"/>
      <c r="W57" s="12">
        <v>1</v>
      </c>
      <c r="AC57" s="6">
        <v>46049.354166666664</v>
      </c>
      <c r="AD57" s="12">
        <v>900</v>
      </c>
      <c r="AZ57" s="22"/>
    </row>
    <row r="58" spans="19:52" x14ac:dyDescent="0.35">
      <c r="S58" s="6">
        <v>46044.614583333336</v>
      </c>
      <c r="T58" s="12">
        <v>1</v>
      </c>
      <c r="U58" s="12"/>
      <c r="V58" s="12"/>
      <c r="W58" s="12">
        <v>1</v>
      </c>
      <c r="AC58" s="6">
        <v>46049.395833333336</v>
      </c>
      <c r="AD58" s="12">
        <v>700</v>
      </c>
      <c r="AZ58" s="22"/>
    </row>
    <row r="59" spans="19:52" x14ac:dyDescent="0.35">
      <c r="S59" s="6">
        <v>46044.625</v>
      </c>
      <c r="T59" s="12"/>
      <c r="U59" s="12">
        <v>1</v>
      </c>
      <c r="V59" s="12"/>
      <c r="W59" s="12">
        <v>1</v>
      </c>
      <c r="AC59" s="6">
        <v>46049.40625</v>
      </c>
      <c r="AD59" s="12">
        <v>800</v>
      </c>
      <c r="AZ59" s="22"/>
    </row>
    <row r="60" spans="19:52" x14ac:dyDescent="0.35">
      <c r="S60" s="6">
        <v>46044.770833333336</v>
      </c>
      <c r="T60" s="12"/>
      <c r="U60" s="12">
        <v>1</v>
      </c>
      <c r="V60" s="12"/>
      <c r="W60" s="12">
        <v>1</v>
      </c>
      <c r="AC60" s="6">
        <v>46049.416666666664</v>
      </c>
      <c r="AD60" s="12">
        <v>700</v>
      </c>
      <c r="AZ60" s="22"/>
    </row>
    <row r="61" spans="19:52" x14ac:dyDescent="0.35">
      <c r="S61" s="6">
        <v>46045.625</v>
      </c>
      <c r="T61" s="12"/>
      <c r="U61" s="12">
        <v>1</v>
      </c>
      <c r="V61" s="12"/>
      <c r="W61" s="12">
        <v>1</v>
      </c>
      <c r="AC61" s="6">
        <v>46049.4375</v>
      </c>
      <c r="AD61" s="12">
        <v>800</v>
      </c>
      <c r="AZ61" s="22"/>
    </row>
    <row r="62" spans="19:52" x14ac:dyDescent="0.35">
      <c r="S62" s="6">
        <v>46046.46875</v>
      </c>
      <c r="T62" s="12">
        <v>1</v>
      </c>
      <c r="U62" s="12">
        <v>1</v>
      </c>
      <c r="V62" s="12"/>
      <c r="W62" s="12">
        <v>2</v>
      </c>
      <c r="AC62" s="6">
        <v>46049.53125</v>
      </c>
      <c r="AD62" s="12">
        <v>1000</v>
      </c>
      <c r="AZ62" s="22"/>
    </row>
    <row r="63" spans="19:52" x14ac:dyDescent="0.35">
      <c r="S63" s="6">
        <v>46046.59375</v>
      </c>
      <c r="T63" s="12"/>
      <c r="U63" s="12">
        <v>1</v>
      </c>
      <c r="V63" s="12"/>
      <c r="W63" s="12">
        <v>1</v>
      </c>
      <c r="AC63" s="6">
        <v>46050.635416666664</v>
      </c>
      <c r="AD63" s="12">
        <v>500</v>
      </c>
      <c r="AZ63" s="22"/>
    </row>
    <row r="64" spans="19:52" x14ac:dyDescent="0.35">
      <c r="S64" s="6">
        <v>46046.604166666664</v>
      </c>
      <c r="T64" s="12"/>
      <c r="U64" s="12">
        <v>1</v>
      </c>
      <c r="V64" s="12"/>
      <c r="W64" s="12">
        <v>1</v>
      </c>
      <c r="AC64" s="6">
        <v>46050.71875</v>
      </c>
      <c r="AD64" s="12">
        <v>600</v>
      </c>
      <c r="AZ64" s="22"/>
    </row>
    <row r="65" spans="19:52" x14ac:dyDescent="0.35">
      <c r="S65" s="6">
        <v>46046.625</v>
      </c>
      <c r="T65" s="12"/>
      <c r="U65" s="12">
        <v>1</v>
      </c>
      <c r="V65" s="12"/>
      <c r="W65" s="12">
        <v>1</v>
      </c>
      <c r="AC65" s="6">
        <v>46051.635416666664</v>
      </c>
      <c r="AD65" s="12">
        <v>900</v>
      </c>
      <c r="AZ65" s="22"/>
    </row>
    <row r="66" spans="19:52" x14ac:dyDescent="0.35">
      <c r="S66" s="6">
        <v>46046.65625</v>
      </c>
      <c r="T66" s="12"/>
      <c r="U66" s="12">
        <v>1</v>
      </c>
      <c r="V66" s="12"/>
      <c r="W66" s="12">
        <v>1</v>
      </c>
      <c r="AC66" s="6">
        <v>46053.677083333336</v>
      </c>
      <c r="AD66" s="12">
        <v>500</v>
      </c>
      <c r="AZ66" s="22"/>
    </row>
    <row r="67" spans="19:52" x14ac:dyDescent="0.35">
      <c r="S67" s="6">
        <v>46046.71875</v>
      </c>
      <c r="T67" s="12"/>
      <c r="U67" s="12">
        <v>1</v>
      </c>
      <c r="V67" s="12"/>
      <c r="W67" s="12">
        <v>1</v>
      </c>
      <c r="AC67" s="6">
        <v>46053.708333333336</v>
      </c>
      <c r="AD67" s="12">
        <v>1000</v>
      </c>
      <c r="AZ67" s="22"/>
    </row>
    <row r="68" spans="19:52" x14ac:dyDescent="0.35">
      <c r="S68" s="6">
        <v>46046.739583333336</v>
      </c>
      <c r="T68" s="12"/>
      <c r="U68" s="12">
        <v>1</v>
      </c>
      <c r="V68" s="12"/>
      <c r="W68" s="12">
        <v>1</v>
      </c>
      <c r="AC68" s="6">
        <v>46053.729166666664</v>
      </c>
      <c r="AD68" s="12">
        <v>700</v>
      </c>
      <c r="AZ68" s="22"/>
    </row>
    <row r="69" spans="19:52" x14ac:dyDescent="0.35">
      <c r="S69" s="6">
        <v>46046.770833333336</v>
      </c>
      <c r="T69" s="12">
        <v>1</v>
      </c>
      <c r="U69" s="12"/>
      <c r="V69" s="12"/>
      <c r="W69" s="12">
        <v>1</v>
      </c>
      <c r="AC69" s="6">
        <v>46054.729166666664</v>
      </c>
      <c r="AD69" s="12">
        <v>700</v>
      </c>
      <c r="AZ69" s="22"/>
    </row>
    <row r="70" spans="19:52" x14ac:dyDescent="0.35">
      <c r="S70" s="6">
        <v>46047.364583333336</v>
      </c>
      <c r="T70" s="12">
        <v>1</v>
      </c>
      <c r="U70" s="12"/>
      <c r="V70" s="12"/>
      <c r="W70" s="12">
        <v>1</v>
      </c>
      <c r="AC70" s="6">
        <v>46055.583333333336</v>
      </c>
      <c r="AD70" s="12">
        <v>600</v>
      </c>
      <c r="AZ70" s="22"/>
    </row>
    <row r="71" spans="19:52" x14ac:dyDescent="0.35">
      <c r="S71" s="6">
        <v>46047.416666666664</v>
      </c>
      <c r="T71" s="12"/>
      <c r="U71" s="12"/>
      <c r="V71" s="12">
        <v>1</v>
      </c>
      <c r="W71" s="12">
        <v>1</v>
      </c>
      <c r="AC71" s="6">
        <v>46055.677083333336</v>
      </c>
      <c r="AD71" s="12">
        <v>400</v>
      </c>
      <c r="AZ71" s="22"/>
    </row>
    <row r="72" spans="19:52" x14ac:dyDescent="0.35">
      <c r="S72" s="6">
        <v>46047.458333333336</v>
      </c>
      <c r="T72" s="12"/>
      <c r="U72" s="12">
        <v>1</v>
      </c>
      <c r="V72" s="12"/>
      <c r="W72" s="12">
        <v>1</v>
      </c>
      <c r="AC72" s="6">
        <v>46056.583333333336</v>
      </c>
      <c r="AD72" s="12">
        <v>500</v>
      </c>
      <c r="AZ72" s="22"/>
    </row>
    <row r="73" spans="19:52" x14ac:dyDescent="0.35">
      <c r="S73" s="6">
        <v>46047.59375</v>
      </c>
      <c r="T73" s="12">
        <v>1</v>
      </c>
      <c r="U73" s="12"/>
      <c r="V73" s="12"/>
      <c r="W73" s="12">
        <v>1</v>
      </c>
      <c r="AC73" s="6">
        <v>46056.59375</v>
      </c>
      <c r="AD73" s="12">
        <v>500</v>
      </c>
      <c r="AZ73" s="22"/>
    </row>
    <row r="74" spans="19:52" x14ac:dyDescent="0.35">
      <c r="S74" s="6">
        <v>46047.666666666664</v>
      </c>
      <c r="T74" s="12"/>
      <c r="U74" s="12">
        <v>1</v>
      </c>
      <c r="V74" s="12"/>
      <c r="W74" s="12">
        <v>1</v>
      </c>
      <c r="AC74" s="6">
        <v>46056.625</v>
      </c>
      <c r="AD74" s="12">
        <v>400</v>
      </c>
      <c r="AZ74" s="22"/>
    </row>
    <row r="75" spans="19:52" x14ac:dyDescent="0.35">
      <c r="S75" s="6">
        <v>46048.416666666664</v>
      </c>
      <c r="T75" s="12">
        <v>1</v>
      </c>
      <c r="U75" s="12">
        <v>1</v>
      </c>
      <c r="V75" s="12"/>
      <c r="W75" s="12">
        <v>2</v>
      </c>
      <c r="AC75" s="6">
        <v>46057.614583333336</v>
      </c>
      <c r="AD75" s="12">
        <v>700</v>
      </c>
      <c r="AZ75" s="22"/>
    </row>
    <row r="76" spans="19:52" x14ac:dyDescent="0.35">
      <c r="S76" s="6">
        <v>46048.489583333336</v>
      </c>
      <c r="T76" s="12"/>
      <c r="U76" s="12">
        <v>1</v>
      </c>
      <c r="V76" s="12"/>
      <c r="W76" s="12">
        <v>1</v>
      </c>
      <c r="AC76" s="6">
        <v>46057.666666666664</v>
      </c>
      <c r="AD76" s="12">
        <v>500</v>
      </c>
      <c r="AZ76" s="22"/>
    </row>
    <row r="77" spans="19:52" x14ac:dyDescent="0.35">
      <c r="S77" s="6">
        <v>46048.59375</v>
      </c>
      <c r="T77" s="12"/>
      <c r="U77" s="12">
        <v>1</v>
      </c>
      <c r="V77" s="12"/>
      <c r="W77" s="12">
        <v>1</v>
      </c>
      <c r="AC77" s="6">
        <v>46058.520833333336</v>
      </c>
      <c r="AD77" s="12">
        <v>800</v>
      </c>
      <c r="AZ77" s="22"/>
    </row>
    <row r="78" spans="19:52" x14ac:dyDescent="0.35">
      <c r="S78" s="6">
        <v>46048.677083333336</v>
      </c>
      <c r="T78" s="12"/>
      <c r="U78" s="12">
        <v>1</v>
      </c>
      <c r="V78" s="12"/>
      <c r="W78" s="12">
        <v>1</v>
      </c>
      <c r="AC78" s="6">
        <v>46059.5</v>
      </c>
      <c r="AD78" s="12">
        <v>700</v>
      </c>
      <c r="AZ78" s="22"/>
    </row>
    <row r="79" spans="19:52" x14ac:dyDescent="0.35">
      <c r="S79" s="6">
        <v>46049.354166666664</v>
      </c>
      <c r="T79" s="12"/>
      <c r="U79" s="12">
        <v>1</v>
      </c>
      <c r="V79" s="12"/>
      <c r="W79" s="12">
        <v>1</v>
      </c>
      <c r="AC79" s="6">
        <v>46059.53125</v>
      </c>
      <c r="AD79" s="12">
        <v>400</v>
      </c>
      <c r="AZ79" s="22"/>
    </row>
    <row r="80" spans="19:52" x14ac:dyDescent="0.35">
      <c r="S80" s="6">
        <v>46049.395833333336</v>
      </c>
      <c r="T80" s="12"/>
      <c r="U80" s="12">
        <v>1</v>
      </c>
      <c r="V80" s="12"/>
      <c r="W80" s="12">
        <v>1</v>
      </c>
      <c r="AC80" s="6">
        <v>46060.354166666664</v>
      </c>
      <c r="AD80" s="12">
        <v>500</v>
      </c>
      <c r="AZ80" s="22"/>
    </row>
    <row r="81" spans="19:52" x14ac:dyDescent="0.35">
      <c r="S81" s="6">
        <v>46049.40625</v>
      </c>
      <c r="T81" s="12"/>
      <c r="U81" s="12">
        <v>1</v>
      </c>
      <c r="V81" s="12"/>
      <c r="W81" s="12">
        <v>1</v>
      </c>
      <c r="AC81" s="6">
        <v>46060.5</v>
      </c>
      <c r="AD81" s="12">
        <v>700</v>
      </c>
      <c r="AZ81" s="22"/>
    </row>
    <row r="82" spans="19:52" x14ac:dyDescent="0.35">
      <c r="S82" s="6">
        <v>46049.416666666664</v>
      </c>
      <c r="T82" s="12"/>
      <c r="U82" s="12">
        <v>1</v>
      </c>
      <c r="V82" s="12"/>
      <c r="W82" s="12">
        <v>1</v>
      </c>
      <c r="AC82" s="6">
        <v>46061.364583333336</v>
      </c>
      <c r="AD82" s="12">
        <v>500</v>
      </c>
      <c r="AZ82" s="22"/>
    </row>
    <row r="83" spans="19:52" x14ac:dyDescent="0.35">
      <c r="S83" s="6">
        <v>46049.4375</v>
      </c>
      <c r="T83" s="12"/>
      <c r="U83" s="12">
        <v>1</v>
      </c>
      <c r="V83" s="12"/>
      <c r="W83" s="12">
        <v>1</v>
      </c>
      <c r="AC83" s="6">
        <v>46062.34375</v>
      </c>
      <c r="AD83" s="12">
        <v>500</v>
      </c>
      <c r="AZ83" s="22"/>
    </row>
    <row r="84" spans="19:52" x14ac:dyDescent="0.35">
      <c r="S84" s="6">
        <v>46049.53125</v>
      </c>
      <c r="T84" s="12"/>
      <c r="U84" s="12">
        <v>1</v>
      </c>
      <c r="V84" s="12"/>
      <c r="W84" s="12">
        <v>1</v>
      </c>
      <c r="AC84" s="6">
        <v>46062.677083333336</v>
      </c>
      <c r="AD84" s="12">
        <v>500</v>
      </c>
      <c r="AZ84" s="22"/>
    </row>
    <row r="85" spans="19:52" x14ac:dyDescent="0.35">
      <c r="S85" s="6">
        <v>46050.635416666664</v>
      </c>
      <c r="T85" s="12"/>
      <c r="U85" s="12">
        <v>1</v>
      </c>
      <c r="V85" s="12"/>
      <c r="W85" s="12">
        <v>1</v>
      </c>
      <c r="AC85" s="6">
        <v>46063.395833333336</v>
      </c>
      <c r="AD85" s="12">
        <v>800</v>
      </c>
      <c r="AZ85" s="22"/>
    </row>
    <row r="86" spans="19:52" x14ac:dyDescent="0.35">
      <c r="S86" s="6">
        <v>46050.71875</v>
      </c>
      <c r="T86" s="12"/>
      <c r="U86" s="12">
        <v>1</v>
      </c>
      <c r="V86" s="12"/>
      <c r="W86" s="12">
        <v>1</v>
      </c>
      <c r="AC86" s="6">
        <v>46063.5</v>
      </c>
      <c r="AD86" s="12">
        <v>1000</v>
      </c>
      <c r="AZ86" s="22"/>
    </row>
    <row r="87" spans="19:52" x14ac:dyDescent="0.35">
      <c r="S87" s="6">
        <v>46051.489583333336</v>
      </c>
      <c r="T87" s="12"/>
      <c r="U87" s="12"/>
      <c r="V87" s="12">
        <v>1</v>
      </c>
      <c r="W87" s="12">
        <v>1</v>
      </c>
      <c r="AC87" s="6">
        <v>46064.625</v>
      </c>
      <c r="AD87" s="12">
        <v>500</v>
      </c>
      <c r="AZ87" s="22"/>
    </row>
    <row r="88" spans="19:52" x14ac:dyDescent="0.35">
      <c r="S88" s="6">
        <v>46051.635416666664</v>
      </c>
      <c r="T88" s="12"/>
      <c r="U88" s="12">
        <v>1</v>
      </c>
      <c r="V88" s="12"/>
      <c r="W88" s="12">
        <v>1</v>
      </c>
      <c r="AC88" s="6">
        <v>46065.375</v>
      </c>
      <c r="AD88" s="12">
        <v>700</v>
      </c>
      <c r="AZ88" s="22"/>
    </row>
    <row r="89" spans="19:52" x14ac:dyDescent="0.35">
      <c r="S89" s="6">
        <v>46053.34375</v>
      </c>
      <c r="T89" s="12"/>
      <c r="U89" s="12"/>
      <c r="V89" s="12">
        <v>1</v>
      </c>
      <c r="W89" s="12">
        <v>1</v>
      </c>
      <c r="AC89" s="6">
        <v>46066.447916666664</v>
      </c>
      <c r="AD89" s="12">
        <v>700</v>
      </c>
      <c r="AZ89" s="22"/>
    </row>
    <row r="90" spans="19:52" x14ac:dyDescent="0.35">
      <c r="S90" s="6">
        <v>46053.46875</v>
      </c>
      <c r="T90" s="12"/>
      <c r="U90" s="12"/>
      <c r="V90" s="12">
        <v>1</v>
      </c>
      <c r="W90" s="12">
        <v>1</v>
      </c>
      <c r="AC90" s="6">
        <v>46066.5</v>
      </c>
      <c r="AD90" s="12">
        <v>1000</v>
      </c>
      <c r="AZ90" s="22"/>
    </row>
    <row r="91" spans="19:52" x14ac:dyDescent="0.35">
      <c r="S91" s="6">
        <v>46053.677083333336</v>
      </c>
      <c r="T91" s="12"/>
      <c r="U91" s="12">
        <v>1</v>
      </c>
      <c r="V91" s="12"/>
      <c r="W91" s="12">
        <v>1</v>
      </c>
      <c r="AC91" s="6">
        <v>46067.46875</v>
      </c>
      <c r="AD91" s="12">
        <v>800</v>
      </c>
      <c r="AZ91" s="22"/>
    </row>
    <row r="92" spans="19:52" x14ac:dyDescent="0.35">
      <c r="S92" s="6">
        <v>46053.708333333336</v>
      </c>
      <c r="T92" s="12"/>
      <c r="U92" s="12">
        <v>1</v>
      </c>
      <c r="V92" s="12"/>
      <c r="W92" s="12">
        <v>1</v>
      </c>
      <c r="AC92" s="6">
        <v>46067.75</v>
      </c>
      <c r="AD92" s="12">
        <v>500</v>
      </c>
      <c r="AZ92" s="22"/>
    </row>
    <row r="93" spans="19:52" x14ac:dyDescent="0.35">
      <c r="S93" s="6">
        <v>46053.729166666664</v>
      </c>
      <c r="T93" s="12"/>
      <c r="U93" s="12">
        <v>1</v>
      </c>
      <c r="V93" s="12"/>
      <c r="W93" s="12">
        <v>1</v>
      </c>
      <c r="AC93" s="6">
        <v>46068.614583333336</v>
      </c>
      <c r="AD93" s="12">
        <v>500</v>
      </c>
      <c r="AZ93" s="22"/>
    </row>
    <row r="94" spans="19:52" x14ac:dyDescent="0.35">
      <c r="S94" s="6">
        <v>46054.729166666664</v>
      </c>
      <c r="T94" s="12"/>
      <c r="U94" s="12">
        <v>1</v>
      </c>
      <c r="V94" s="12"/>
      <c r="W94" s="12">
        <v>1</v>
      </c>
      <c r="AC94" s="6">
        <v>46068.739583333336</v>
      </c>
      <c r="AD94" s="12">
        <v>600</v>
      </c>
      <c r="AZ94" s="22"/>
    </row>
    <row r="95" spans="19:52" x14ac:dyDescent="0.35">
      <c r="S95" s="6">
        <v>46055.583333333336</v>
      </c>
      <c r="T95" s="12"/>
      <c r="U95" s="12">
        <v>1</v>
      </c>
      <c r="V95" s="12"/>
      <c r="W95" s="12">
        <v>1</v>
      </c>
      <c r="AC95" s="6">
        <v>46068.770833333336</v>
      </c>
      <c r="AD95" s="12">
        <v>1000</v>
      </c>
      <c r="AZ95" s="22"/>
    </row>
    <row r="96" spans="19:52" x14ac:dyDescent="0.35">
      <c r="S96" s="6">
        <v>46055.677083333336</v>
      </c>
      <c r="T96" s="12"/>
      <c r="U96" s="12">
        <v>1</v>
      </c>
      <c r="V96" s="12"/>
      <c r="W96" s="12">
        <v>1</v>
      </c>
      <c r="AC96" s="6">
        <v>46069.40625</v>
      </c>
      <c r="AD96" s="12">
        <v>800</v>
      </c>
      <c r="AZ96" s="22"/>
    </row>
    <row r="97" spans="19:52" x14ac:dyDescent="0.35">
      <c r="S97" s="6">
        <v>46056.583333333336</v>
      </c>
      <c r="T97" s="12"/>
      <c r="U97" s="12">
        <v>1</v>
      </c>
      <c r="V97" s="12"/>
      <c r="W97" s="12">
        <v>1</v>
      </c>
      <c r="AC97" s="6">
        <v>46070.520833333336</v>
      </c>
      <c r="AD97" s="12">
        <v>600</v>
      </c>
      <c r="AZ97" s="22"/>
    </row>
    <row r="98" spans="19:52" x14ac:dyDescent="0.35">
      <c r="S98" s="6">
        <v>46056.59375</v>
      </c>
      <c r="T98" s="12"/>
      <c r="U98" s="12">
        <v>1</v>
      </c>
      <c r="V98" s="12"/>
      <c r="W98" s="12">
        <v>1</v>
      </c>
      <c r="AC98" s="6">
        <v>46070.65625</v>
      </c>
      <c r="AD98" s="12">
        <v>600</v>
      </c>
      <c r="AZ98" s="22"/>
    </row>
    <row r="99" spans="19:52" x14ac:dyDescent="0.35">
      <c r="S99" s="6">
        <v>46056.625</v>
      </c>
      <c r="T99" s="12"/>
      <c r="U99" s="12">
        <v>1</v>
      </c>
      <c r="V99" s="12"/>
      <c r="W99" s="12">
        <v>1</v>
      </c>
      <c r="AC99" s="6">
        <v>46072.53125</v>
      </c>
      <c r="AD99" s="12">
        <v>600</v>
      </c>
      <c r="AZ99" s="22"/>
    </row>
    <row r="100" spans="19:52" x14ac:dyDescent="0.35">
      <c r="S100" s="6">
        <v>46057.614583333336</v>
      </c>
      <c r="T100" s="12"/>
      <c r="U100" s="12">
        <v>1</v>
      </c>
      <c r="V100" s="12"/>
      <c r="W100" s="12">
        <v>1</v>
      </c>
      <c r="AC100" s="6">
        <v>46072.614583333336</v>
      </c>
      <c r="AD100" s="12">
        <v>600</v>
      </c>
      <c r="AZ100" s="22"/>
    </row>
    <row r="101" spans="19:52" x14ac:dyDescent="0.35">
      <c r="S101" s="6">
        <v>46057.666666666664</v>
      </c>
      <c r="T101" s="12"/>
      <c r="U101" s="12">
        <v>1</v>
      </c>
      <c r="V101" s="12"/>
      <c r="W101" s="12">
        <v>1</v>
      </c>
      <c r="AC101" s="6">
        <v>46074.416666666664</v>
      </c>
      <c r="AD101" s="12">
        <v>800</v>
      </c>
      <c r="AZ101" s="22"/>
    </row>
    <row r="102" spans="19:52" x14ac:dyDescent="0.35">
      <c r="S102" s="6">
        <v>46057.708333333336</v>
      </c>
      <c r="T102" s="12">
        <v>1</v>
      </c>
      <c r="U102" s="12"/>
      <c r="V102" s="12"/>
      <c r="W102" s="12">
        <v>1</v>
      </c>
      <c r="AC102" s="6">
        <v>46076.427083333336</v>
      </c>
      <c r="AD102" s="12">
        <v>700</v>
      </c>
      <c r="AZ102" s="22"/>
    </row>
    <row r="103" spans="19:52" x14ac:dyDescent="0.35">
      <c r="S103" s="6">
        <v>46058.520833333336</v>
      </c>
      <c r="T103" s="12"/>
      <c r="U103" s="12">
        <v>1</v>
      </c>
      <c r="V103" s="12"/>
      <c r="W103" s="12">
        <v>1</v>
      </c>
      <c r="AC103" s="6">
        <v>46076.645833333336</v>
      </c>
      <c r="AD103" s="12">
        <v>700</v>
      </c>
      <c r="AZ103" s="22"/>
    </row>
    <row r="104" spans="19:52" x14ac:dyDescent="0.35">
      <c r="S104" s="6">
        <v>46058.645833333336</v>
      </c>
      <c r="T104" s="12"/>
      <c r="U104" s="12"/>
      <c r="V104" s="12">
        <v>1</v>
      </c>
      <c r="W104" s="12">
        <v>1</v>
      </c>
      <c r="AC104" s="6">
        <v>46077.635416666664</v>
      </c>
      <c r="AD104" s="12">
        <v>800</v>
      </c>
      <c r="AZ104" s="22"/>
    </row>
    <row r="105" spans="19:52" x14ac:dyDescent="0.35">
      <c r="S105" s="6">
        <v>46059.489583333336</v>
      </c>
      <c r="T105" s="12">
        <v>1</v>
      </c>
      <c r="U105" s="12"/>
      <c r="V105" s="12"/>
      <c r="W105" s="12">
        <v>1</v>
      </c>
      <c r="AC105" s="6">
        <v>46078.447916666664</v>
      </c>
      <c r="AD105" s="12">
        <v>1000</v>
      </c>
      <c r="AZ105" s="22"/>
    </row>
    <row r="106" spans="19:52" x14ac:dyDescent="0.35">
      <c r="S106" s="6">
        <v>46059.5</v>
      </c>
      <c r="T106" s="12"/>
      <c r="U106" s="12">
        <v>1</v>
      </c>
      <c r="V106" s="12"/>
      <c r="W106" s="12">
        <v>1</v>
      </c>
      <c r="AC106" s="6">
        <v>46079.5</v>
      </c>
      <c r="AD106" s="12">
        <v>500</v>
      </c>
      <c r="AZ106" s="22"/>
    </row>
    <row r="107" spans="19:52" x14ac:dyDescent="0.35">
      <c r="S107" s="6">
        <v>46059.53125</v>
      </c>
      <c r="T107" s="12"/>
      <c r="U107" s="12">
        <v>1</v>
      </c>
      <c r="V107" s="12"/>
      <c r="W107" s="12">
        <v>1</v>
      </c>
      <c r="AC107" s="6">
        <v>46079.677083333336</v>
      </c>
      <c r="AD107" s="12">
        <v>600</v>
      </c>
      <c r="AZ107" s="22"/>
    </row>
    <row r="108" spans="19:52" x14ac:dyDescent="0.35">
      <c r="S108" s="6">
        <v>46060.354166666664</v>
      </c>
      <c r="T108" s="12"/>
      <c r="U108" s="12">
        <v>1</v>
      </c>
      <c r="V108" s="12"/>
      <c r="W108" s="12">
        <v>1</v>
      </c>
      <c r="AC108" s="6">
        <v>46080.604166666664</v>
      </c>
      <c r="AD108" s="12">
        <v>800</v>
      </c>
      <c r="AZ108" s="22"/>
    </row>
    <row r="109" spans="19:52" x14ac:dyDescent="0.35">
      <c r="S109" s="6">
        <v>46060.5</v>
      </c>
      <c r="T109" s="12"/>
      <c r="U109" s="12">
        <v>1</v>
      </c>
      <c r="V109" s="12"/>
      <c r="W109" s="12">
        <v>1</v>
      </c>
      <c r="AC109" s="6">
        <v>46081.677083333336</v>
      </c>
      <c r="AD109" s="12">
        <v>800</v>
      </c>
      <c r="AZ109" s="22"/>
    </row>
    <row r="110" spans="19:52" x14ac:dyDescent="0.35">
      <c r="S110" s="6">
        <v>46061.364583333336</v>
      </c>
      <c r="T110" s="12"/>
      <c r="U110" s="12">
        <v>1</v>
      </c>
      <c r="V110" s="12"/>
      <c r="W110" s="12">
        <v>1</v>
      </c>
      <c r="AC110" s="6">
        <v>46082.760416666664</v>
      </c>
      <c r="AD110" s="12">
        <v>900</v>
      </c>
      <c r="AZ110" s="22"/>
    </row>
    <row r="111" spans="19:52" x14ac:dyDescent="0.35">
      <c r="S111" s="6">
        <v>46062.34375</v>
      </c>
      <c r="T111" s="12"/>
      <c r="U111" s="12">
        <v>1</v>
      </c>
      <c r="V111" s="12"/>
      <c r="W111" s="12">
        <v>1</v>
      </c>
      <c r="AC111" s="6">
        <v>46083.604166666664</v>
      </c>
      <c r="AD111" s="12">
        <v>700</v>
      </c>
      <c r="AZ111" s="22"/>
    </row>
    <row r="112" spans="19:52" x14ac:dyDescent="0.35">
      <c r="S112" s="6">
        <v>46062.510416666664</v>
      </c>
      <c r="T112" s="12"/>
      <c r="U112" s="12"/>
      <c r="V112" s="12">
        <v>1</v>
      </c>
      <c r="W112" s="12">
        <v>1</v>
      </c>
      <c r="AC112" s="6">
        <v>46084.34375</v>
      </c>
      <c r="AD112" s="12">
        <v>700</v>
      </c>
      <c r="AZ112" s="22"/>
    </row>
    <row r="113" spans="19:52" x14ac:dyDescent="0.35">
      <c r="S113" s="6">
        <v>46062.677083333336</v>
      </c>
      <c r="T113" s="12"/>
      <c r="U113" s="12">
        <v>1</v>
      </c>
      <c r="V113" s="12"/>
      <c r="W113" s="12">
        <v>1</v>
      </c>
      <c r="AC113" s="6">
        <v>46085.677083333336</v>
      </c>
      <c r="AD113" s="12">
        <v>700</v>
      </c>
      <c r="AZ113" s="22"/>
    </row>
    <row r="114" spans="19:52" x14ac:dyDescent="0.35">
      <c r="S114" s="6">
        <v>46063.395833333336</v>
      </c>
      <c r="T114" s="12"/>
      <c r="U114" s="12">
        <v>1</v>
      </c>
      <c r="V114" s="12"/>
      <c r="W114" s="12">
        <v>1</v>
      </c>
      <c r="AC114" s="6">
        <v>46086.770833333336</v>
      </c>
      <c r="AD114" s="12">
        <v>800</v>
      </c>
      <c r="AZ114" s="22"/>
    </row>
    <row r="115" spans="19:52" x14ac:dyDescent="0.35">
      <c r="S115" s="6">
        <v>46063.5</v>
      </c>
      <c r="T115" s="12">
        <v>1</v>
      </c>
      <c r="U115" s="12">
        <v>1</v>
      </c>
      <c r="V115" s="12"/>
      <c r="W115" s="12">
        <v>2</v>
      </c>
      <c r="AC115" s="6">
        <v>46088.364583333336</v>
      </c>
      <c r="AD115" s="12">
        <v>500</v>
      </c>
      <c r="AZ115" s="22"/>
    </row>
    <row r="116" spans="19:52" x14ac:dyDescent="0.35">
      <c r="S116" s="6">
        <v>46063.583333333336</v>
      </c>
      <c r="T116" s="12"/>
      <c r="U116" s="12"/>
      <c r="V116" s="12">
        <v>1</v>
      </c>
      <c r="W116" s="12">
        <v>1</v>
      </c>
      <c r="AC116" s="6">
        <v>46089.375</v>
      </c>
      <c r="AD116" s="12">
        <v>1000</v>
      </c>
      <c r="AZ116" s="22"/>
    </row>
    <row r="117" spans="19:52" x14ac:dyDescent="0.35">
      <c r="S117" s="6">
        <v>46064.5</v>
      </c>
      <c r="T117" s="12">
        <v>1</v>
      </c>
      <c r="U117" s="12"/>
      <c r="V117" s="12"/>
      <c r="W117" s="12">
        <v>1</v>
      </c>
      <c r="AC117" s="6">
        <v>46089.479166666664</v>
      </c>
      <c r="AD117" s="12">
        <v>700</v>
      </c>
      <c r="AZ117" s="22"/>
    </row>
    <row r="118" spans="19:52" x14ac:dyDescent="0.35">
      <c r="S118" s="6">
        <v>46064.625</v>
      </c>
      <c r="T118" s="12"/>
      <c r="U118" s="12">
        <v>1</v>
      </c>
      <c r="V118" s="12"/>
      <c r="W118" s="12">
        <v>1</v>
      </c>
      <c r="AC118" s="6">
        <v>46090.385416666664</v>
      </c>
      <c r="AD118" s="12">
        <v>800</v>
      </c>
      <c r="AZ118" s="22"/>
    </row>
    <row r="119" spans="19:52" x14ac:dyDescent="0.35">
      <c r="S119" s="6">
        <v>46064.708333333336</v>
      </c>
      <c r="T119" s="12">
        <v>1</v>
      </c>
      <c r="U119" s="12"/>
      <c r="V119" s="12"/>
      <c r="W119" s="12">
        <v>1</v>
      </c>
      <c r="AC119" s="6">
        <v>46090.760416666664</v>
      </c>
      <c r="AD119" s="12">
        <v>600</v>
      </c>
      <c r="AZ119" s="22"/>
    </row>
    <row r="120" spans="19:52" x14ac:dyDescent="0.35">
      <c r="S120" s="6">
        <v>46065.375</v>
      </c>
      <c r="T120" s="12"/>
      <c r="U120" s="12">
        <v>1</v>
      </c>
      <c r="V120" s="12"/>
      <c r="W120" s="12">
        <v>1</v>
      </c>
      <c r="AC120" s="6">
        <v>46091.677083333336</v>
      </c>
      <c r="AD120" s="12">
        <v>700</v>
      </c>
      <c r="AZ120" s="22"/>
    </row>
    <row r="121" spans="19:52" x14ac:dyDescent="0.35">
      <c r="S121" s="6">
        <v>46065.59375</v>
      </c>
      <c r="T121" s="12"/>
      <c r="U121" s="12"/>
      <c r="V121" s="12">
        <v>1</v>
      </c>
      <c r="W121" s="12">
        <v>1</v>
      </c>
      <c r="AC121" s="6">
        <v>46091.708333333336</v>
      </c>
      <c r="AD121" s="12">
        <v>700</v>
      </c>
      <c r="AZ121" s="22"/>
    </row>
    <row r="122" spans="19:52" x14ac:dyDescent="0.35">
      <c r="S122" s="6">
        <v>46065.677083333336</v>
      </c>
      <c r="T122" s="12"/>
      <c r="U122" s="12"/>
      <c r="V122" s="12">
        <v>1</v>
      </c>
      <c r="W122" s="12">
        <v>1</v>
      </c>
      <c r="AC122" s="6">
        <v>46091.71875</v>
      </c>
      <c r="AD122" s="12">
        <v>1100</v>
      </c>
      <c r="AZ122" s="22"/>
    </row>
    <row r="123" spans="19:52" x14ac:dyDescent="0.35">
      <c r="S123" s="6">
        <v>46066.375</v>
      </c>
      <c r="T123" s="12">
        <v>1</v>
      </c>
      <c r="U123" s="12"/>
      <c r="V123" s="12"/>
      <c r="W123" s="12">
        <v>1</v>
      </c>
      <c r="AC123" s="6">
        <v>46092.458333333336</v>
      </c>
      <c r="AD123" s="12">
        <v>500</v>
      </c>
      <c r="AZ123" s="22"/>
    </row>
    <row r="124" spans="19:52" x14ac:dyDescent="0.35">
      <c r="S124" s="6">
        <v>46066.447916666664</v>
      </c>
      <c r="T124" s="12"/>
      <c r="U124" s="12">
        <v>1</v>
      </c>
      <c r="V124" s="12"/>
      <c r="W124" s="12">
        <v>1</v>
      </c>
      <c r="AC124" s="6">
        <v>46092.708333333336</v>
      </c>
      <c r="AD124" s="12">
        <v>500</v>
      </c>
      <c r="AZ124" s="22"/>
    </row>
    <row r="125" spans="19:52" x14ac:dyDescent="0.35">
      <c r="S125" s="6">
        <v>46066.5</v>
      </c>
      <c r="T125" s="12"/>
      <c r="U125" s="12">
        <v>1</v>
      </c>
      <c r="V125" s="12"/>
      <c r="W125" s="12">
        <v>1</v>
      </c>
      <c r="AC125" s="6">
        <v>46093.46875</v>
      </c>
      <c r="AD125" s="12">
        <v>1000</v>
      </c>
      <c r="AZ125" s="22"/>
    </row>
    <row r="126" spans="19:52" x14ac:dyDescent="0.35">
      <c r="S126" s="6">
        <v>46067.46875</v>
      </c>
      <c r="T126" s="12"/>
      <c r="U126" s="12">
        <v>1</v>
      </c>
      <c r="V126" s="12"/>
      <c r="W126" s="12">
        <v>1</v>
      </c>
      <c r="AC126" s="6">
        <v>46093.520833333336</v>
      </c>
      <c r="AD126" s="12">
        <v>600</v>
      </c>
      <c r="AZ126" s="22"/>
    </row>
    <row r="127" spans="19:52" x14ac:dyDescent="0.35">
      <c r="S127" s="6">
        <v>46067.666666666664</v>
      </c>
      <c r="T127" s="12"/>
      <c r="U127" s="12"/>
      <c r="V127" s="12">
        <v>1</v>
      </c>
      <c r="W127" s="12">
        <v>1</v>
      </c>
      <c r="AC127" s="6">
        <v>46093.770833333336</v>
      </c>
      <c r="AD127" s="12">
        <v>800</v>
      </c>
      <c r="AZ127" s="22"/>
    </row>
    <row r="128" spans="19:52" x14ac:dyDescent="0.35">
      <c r="S128" s="6">
        <v>46067.75</v>
      </c>
      <c r="T128" s="12"/>
      <c r="U128" s="12">
        <v>1</v>
      </c>
      <c r="V128" s="12"/>
      <c r="W128" s="12">
        <v>1</v>
      </c>
      <c r="AC128" s="6">
        <v>46094.354166666664</v>
      </c>
      <c r="AD128" s="12">
        <v>800</v>
      </c>
      <c r="AZ128" s="22"/>
    </row>
    <row r="129" spans="19:52" x14ac:dyDescent="0.35">
      <c r="S129" s="6">
        <v>46068.614583333336</v>
      </c>
      <c r="T129" s="12"/>
      <c r="U129" s="12">
        <v>1</v>
      </c>
      <c r="V129" s="12"/>
      <c r="W129" s="12">
        <v>1</v>
      </c>
      <c r="AC129" s="6">
        <v>46094.645833333336</v>
      </c>
      <c r="AD129" s="12">
        <v>500</v>
      </c>
      <c r="AZ129" s="22"/>
    </row>
    <row r="130" spans="19:52" x14ac:dyDescent="0.35">
      <c r="S130" s="6">
        <v>46068.739583333336</v>
      </c>
      <c r="T130" s="12"/>
      <c r="U130" s="12">
        <v>1</v>
      </c>
      <c r="V130" s="12"/>
      <c r="W130" s="12">
        <v>1</v>
      </c>
      <c r="AC130" s="6">
        <v>46094.677083333336</v>
      </c>
      <c r="AD130" s="12">
        <v>800</v>
      </c>
      <c r="AZ130" s="22"/>
    </row>
    <row r="131" spans="19:52" x14ac:dyDescent="0.35">
      <c r="S131" s="6">
        <v>46068.770833333336</v>
      </c>
      <c r="T131" s="12"/>
      <c r="U131" s="12">
        <v>1</v>
      </c>
      <c r="V131" s="12"/>
      <c r="W131" s="12">
        <v>1</v>
      </c>
      <c r="AC131" s="6">
        <v>46095.375</v>
      </c>
      <c r="AD131" s="12">
        <v>1000</v>
      </c>
      <c r="AZ131" s="22"/>
    </row>
    <row r="132" spans="19:52" x14ac:dyDescent="0.35">
      <c r="S132" s="6">
        <v>46069.40625</v>
      </c>
      <c r="T132" s="12"/>
      <c r="U132" s="12">
        <v>1</v>
      </c>
      <c r="V132" s="12"/>
      <c r="W132" s="12">
        <v>1</v>
      </c>
      <c r="AC132" s="6">
        <v>46095.385416666664</v>
      </c>
      <c r="AD132" s="12">
        <v>600</v>
      </c>
      <c r="AZ132" s="22"/>
    </row>
    <row r="133" spans="19:52" x14ac:dyDescent="0.35">
      <c r="S133" s="6">
        <v>46069.760416666664</v>
      </c>
      <c r="T133" s="12"/>
      <c r="U133" s="12"/>
      <c r="V133" s="12">
        <v>1</v>
      </c>
      <c r="W133" s="12">
        <v>1</v>
      </c>
      <c r="AC133" s="6">
        <v>46095.520833333336</v>
      </c>
      <c r="AD133" s="12">
        <v>900</v>
      </c>
      <c r="AZ133" s="22"/>
    </row>
    <row r="134" spans="19:52" x14ac:dyDescent="0.35">
      <c r="S134" s="6">
        <v>46069.770833333336</v>
      </c>
      <c r="T134" s="12">
        <v>1</v>
      </c>
      <c r="U134" s="12"/>
      <c r="V134" s="12"/>
      <c r="W134" s="12">
        <v>1</v>
      </c>
      <c r="AC134" s="6">
        <v>46095.697916666664</v>
      </c>
      <c r="AD134" s="12">
        <v>500</v>
      </c>
      <c r="AZ134" s="22"/>
    </row>
    <row r="135" spans="19:52" x14ac:dyDescent="0.35">
      <c r="S135" s="6">
        <v>46070.520833333336</v>
      </c>
      <c r="T135" s="12"/>
      <c r="U135" s="12">
        <v>1</v>
      </c>
      <c r="V135" s="12"/>
      <c r="W135" s="12">
        <v>1</v>
      </c>
      <c r="AC135" s="6">
        <v>46095.729166666664</v>
      </c>
      <c r="AD135" s="12">
        <v>800</v>
      </c>
      <c r="AZ135" s="22"/>
    </row>
    <row r="136" spans="19:52" x14ac:dyDescent="0.35">
      <c r="S136" s="6">
        <v>46070.65625</v>
      </c>
      <c r="T136" s="12"/>
      <c r="U136" s="12">
        <v>1</v>
      </c>
      <c r="V136" s="12"/>
      <c r="W136" s="12">
        <v>1</v>
      </c>
      <c r="AC136" s="6">
        <v>46096.729166666664</v>
      </c>
      <c r="AD136" s="12">
        <v>500</v>
      </c>
      <c r="AZ136" s="22"/>
    </row>
    <row r="137" spans="19:52" x14ac:dyDescent="0.35">
      <c r="S137" s="6">
        <v>46072.34375</v>
      </c>
      <c r="T137" s="12">
        <v>1</v>
      </c>
      <c r="U137" s="12"/>
      <c r="V137" s="12"/>
      <c r="W137" s="12">
        <v>1</v>
      </c>
      <c r="AC137" s="6">
        <v>46097.520833333336</v>
      </c>
      <c r="AD137" s="12">
        <v>800</v>
      </c>
      <c r="AZ137" s="22"/>
    </row>
    <row r="138" spans="19:52" x14ac:dyDescent="0.35">
      <c r="S138" s="6">
        <v>46072.479166666664</v>
      </c>
      <c r="T138" s="12">
        <v>1</v>
      </c>
      <c r="U138" s="12"/>
      <c r="V138" s="12"/>
      <c r="W138" s="12">
        <v>1</v>
      </c>
      <c r="AC138" s="6">
        <v>46098.583333333336</v>
      </c>
      <c r="AD138" s="12">
        <v>600</v>
      </c>
      <c r="AZ138" s="22"/>
    </row>
    <row r="139" spans="19:52" x14ac:dyDescent="0.35">
      <c r="S139" s="6">
        <v>46072.53125</v>
      </c>
      <c r="T139" s="12"/>
      <c r="U139" s="12">
        <v>1</v>
      </c>
      <c r="V139" s="12"/>
      <c r="W139" s="12">
        <v>1</v>
      </c>
      <c r="AC139" s="6">
        <v>46099.333333333336</v>
      </c>
      <c r="AD139" s="12">
        <v>600</v>
      </c>
      <c r="AZ139" s="22"/>
    </row>
    <row r="140" spans="19:52" x14ac:dyDescent="0.35">
      <c r="S140" s="6">
        <v>46072.583333333336</v>
      </c>
      <c r="T140" s="12"/>
      <c r="U140" s="12"/>
      <c r="V140" s="12">
        <v>1</v>
      </c>
      <c r="W140" s="12">
        <v>1</v>
      </c>
      <c r="AC140" s="6">
        <v>46099.427083333336</v>
      </c>
      <c r="AD140" s="12">
        <v>400</v>
      </c>
      <c r="AZ140" s="22"/>
    </row>
    <row r="141" spans="19:52" x14ac:dyDescent="0.35">
      <c r="S141" s="6">
        <v>46072.614583333336</v>
      </c>
      <c r="T141" s="12"/>
      <c r="U141" s="12">
        <v>1</v>
      </c>
      <c r="V141" s="12"/>
      <c r="W141" s="12">
        <v>1</v>
      </c>
      <c r="AC141" s="6">
        <v>46099.78125</v>
      </c>
      <c r="AD141" s="12">
        <v>600</v>
      </c>
      <c r="AZ141" s="22"/>
    </row>
    <row r="142" spans="19:52" x14ac:dyDescent="0.35">
      <c r="S142" s="6">
        <v>46074.416666666664</v>
      </c>
      <c r="T142" s="12"/>
      <c r="U142" s="12">
        <v>1</v>
      </c>
      <c r="V142" s="12"/>
      <c r="W142" s="12">
        <v>1</v>
      </c>
      <c r="AC142" s="6">
        <v>46100.520833333336</v>
      </c>
      <c r="AD142" s="12">
        <v>1000</v>
      </c>
      <c r="AZ142" s="22"/>
    </row>
    <row r="143" spans="19:52" x14ac:dyDescent="0.35">
      <c r="S143" s="6">
        <v>46074.4375</v>
      </c>
      <c r="T143" s="12">
        <v>1</v>
      </c>
      <c r="U143" s="12"/>
      <c r="V143" s="12"/>
      <c r="W143" s="12">
        <v>1</v>
      </c>
      <c r="AC143" s="6">
        <v>46101.645833333336</v>
      </c>
      <c r="AD143" s="12">
        <v>600</v>
      </c>
      <c r="AZ143" s="22"/>
    </row>
    <row r="144" spans="19:52" x14ac:dyDescent="0.35">
      <c r="S144" s="6">
        <v>46074.729166666664</v>
      </c>
      <c r="T144" s="12">
        <v>1</v>
      </c>
      <c r="U144" s="12"/>
      <c r="V144" s="12"/>
      <c r="W144" s="12">
        <v>1</v>
      </c>
      <c r="AC144" s="6">
        <v>46102.427083333336</v>
      </c>
      <c r="AD144" s="12">
        <v>1100</v>
      </c>
      <c r="AZ144" s="22"/>
    </row>
    <row r="145" spans="19:52" x14ac:dyDescent="0.35">
      <c r="S145" s="6">
        <v>46075.458333333336</v>
      </c>
      <c r="T145" s="12">
        <v>1</v>
      </c>
      <c r="U145" s="12"/>
      <c r="V145" s="12"/>
      <c r="W145" s="12">
        <v>1</v>
      </c>
      <c r="AC145" s="6">
        <v>46102.645833333336</v>
      </c>
      <c r="AD145" s="12">
        <v>400</v>
      </c>
      <c r="AZ145" s="22"/>
    </row>
    <row r="146" spans="19:52" x14ac:dyDescent="0.35">
      <c r="S146" s="6">
        <v>46075.65625</v>
      </c>
      <c r="T146" s="12">
        <v>1</v>
      </c>
      <c r="U146" s="12"/>
      <c r="V146" s="12"/>
      <c r="W146" s="12">
        <v>1</v>
      </c>
      <c r="AC146" s="6">
        <v>46102.697916666664</v>
      </c>
      <c r="AD146" s="12">
        <v>600</v>
      </c>
      <c r="AZ146" s="22"/>
    </row>
    <row r="147" spans="19:52" x14ac:dyDescent="0.35">
      <c r="S147" s="6">
        <v>46076.427083333336</v>
      </c>
      <c r="T147" s="12"/>
      <c r="U147" s="12">
        <v>1</v>
      </c>
      <c r="V147" s="12"/>
      <c r="W147" s="12">
        <v>1</v>
      </c>
      <c r="AC147" s="6">
        <v>46103.427083333336</v>
      </c>
      <c r="AD147" s="12">
        <v>600</v>
      </c>
      <c r="AZ147" s="22"/>
    </row>
    <row r="148" spans="19:52" x14ac:dyDescent="0.35">
      <c r="S148" s="6">
        <v>46076.645833333336</v>
      </c>
      <c r="T148" s="12"/>
      <c r="U148" s="12">
        <v>1</v>
      </c>
      <c r="V148" s="12"/>
      <c r="W148" s="12">
        <v>1</v>
      </c>
      <c r="AC148" s="6">
        <v>46103.635416666664</v>
      </c>
      <c r="AD148" s="12">
        <v>500</v>
      </c>
      <c r="AZ148" s="22"/>
    </row>
    <row r="149" spans="19:52" x14ac:dyDescent="0.35">
      <c r="S149" s="6">
        <v>46076.760416666664</v>
      </c>
      <c r="T149" s="12"/>
      <c r="U149" s="12"/>
      <c r="V149" s="12">
        <v>1</v>
      </c>
      <c r="W149" s="12">
        <v>1</v>
      </c>
      <c r="AC149" s="6">
        <v>46104.479166666664</v>
      </c>
      <c r="AD149" s="12">
        <v>1100</v>
      </c>
      <c r="AZ149" s="22"/>
    </row>
    <row r="150" spans="19:52" x14ac:dyDescent="0.35">
      <c r="S150" s="6">
        <v>46077.635416666664</v>
      </c>
      <c r="T150" s="12"/>
      <c r="U150" s="12">
        <v>1</v>
      </c>
      <c r="V150" s="12"/>
      <c r="W150" s="12">
        <v>1</v>
      </c>
      <c r="AC150" s="6">
        <v>46105.5</v>
      </c>
      <c r="AD150" s="12">
        <v>700</v>
      </c>
      <c r="AZ150" s="22"/>
    </row>
    <row r="151" spans="19:52" x14ac:dyDescent="0.35">
      <c r="S151" s="6">
        <v>46077.770833333336</v>
      </c>
      <c r="T151" s="12"/>
      <c r="U151" s="12"/>
      <c r="V151" s="12">
        <v>1</v>
      </c>
      <c r="W151" s="12">
        <v>1</v>
      </c>
      <c r="AC151" s="6">
        <v>46106.375</v>
      </c>
      <c r="AD151" s="12">
        <v>700</v>
      </c>
      <c r="AZ151" s="22"/>
    </row>
    <row r="152" spans="19:52" x14ac:dyDescent="0.35">
      <c r="S152" s="6">
        <v>46078.447916666664</v>
      </c>
      <c r="T152" s="12"/>
      <c r="U152" s="12">
        <v>1</v>
      </c>
      <c r="V152" s="12"/>
      <c r="W152" s="12">
        <v>1</v>
      </c>
      <c r="AC152" s="6">
        <v>46106.75</v>
      </c>
      <c r="AD152" s="12">
        <v>600</v>
      </c>
      <c r="AZ152" s="22"/>
    </row>
    <row r="153" spans="19:52" x14ac:dyDescent="0.35">
      <c r="S153" s="6">
        <v>46079.479166666664</v>
      </c>
      <c r="T153" s="12"/>
      <c r="U153" s="12"/>
      <c r="V153" s="12">
        <v>1</v>
      </c>
      <c r="W153" s="12">
        <v>1</v>
      </c>
      <c r="AC153" s="6">
        <v>46107.6875</v>
      </c>
      <c r="AD153" s="12">
        <v>400</v>
      </c>
      <c r="AZ153" s="22"/>
    </row>
    <row r="154" spans="19:52" x14ac:dyDescent="0.35">
      <c r="S154" s="6">
        <v>46079.5</v>
      </c>
      <c r="T154" s="12"/>
      <c r="U154" s="12">
        <v>1</v>
      </c>
      <c r="V154" s="12"/>
      <c r="W154" s="12">
        <v>1</v>
      </c>
      <c r="AC154" s="6">
        <v>46108.4375</v>
      </c>
      <c r="AD154" s="12">
        <v>1100</v>
      </c>
      <c r="AZ154" s="22"/>
    </row>
    <row r="155" spans="19:52" x14ac:dyDescent="0.35">
      <c r="S155" s="6">
        <v>46079.583333333336</v>
      </c>
      <c r="T155" s="12">
        <v>1</v>
      </c>
      <c r="U155" s="12"/>
      <c r="V155" s="12"/>
      <c r="W155" s="12">
        <v>1</v>
      </c>
      <c r="AC155" s="6">
        <v>46108.583333333336</v>
      </c>
      <c r="AD155" s="12">
        <v>600</v>
      </c>
      <c r="AZ155" s="22"/>
    </row>
    <row r="156" spans="19:52" x14ac:dyDescent="0.35">
      <c r="S156" s="6">
        <v>46079.677083333336</v>
      </c>
      <c r="T156" s="12"/>
      <c r="U156" s="12">
        <v>1</v>
      </c>
      <c r="V156" s="12"/>
      <c r="W156" s="12">
        <v>1</v>
      </c>
      <c r="AC156" s="6">
        <v>46109.364583333336</v>
      </c>
      <c r="AD156" s="12">
        <v>700</v>
      </c>
      <c r="AZ156" s="22"/>
    </row>
    <row r="157" spans="19:52" x14ac:dyDescent="0.35">
      <c r="S157" s="6">
        <v>46080.604166666664</v>
      </c>
      <c r="T157" s="12"/>
      <c r="U157" s="12">
        <v>1</v>
      </c>
      <c r="V157" s="12"/>
      <c r="W157" s="12">
        <v>1</v>
      </c>
      <c r="AC157" s="6">
        <v>46109.385416666664</v>
      </c>
      <c r="AD157" s="12">
        <v>1000</v>
      </c>
      <c r="AZ157" s="22"/>
    </row>
    <row r="158" spans="19:52" x14ac:dyDescent="0.35">
      <c r="S158" s="6">
        <v>46080.6875</v>
      </c>
      <c r="T158" s="12">
        <v>1</v>
      </c>
      <c r="U158" s="12"/>
      <c r="V158" s="12"/>
      <c r="W158" s="12">
        <v>1</v>
      </c>
      <c r="AC158" s="6">
        <v>46109.510416666664</v>
      </c>
      <c r="AD158" s="12">
        <v>700</v>
      </c>
      <c r="AZ158" s="22"/>
    </row>
    <row r="159" spans="19:52" x14ac:dyDescent="0.35">
      <c r="S159" s="6">
        <v>46081.677083333336</v>
      </c>
      <c r="T159" s="12"/>
      <c r="U159" s="12">
        <v>1</v>
      </c>
      <c r="V159" s="12"/>
      <c r="W159" s="12">
        <v>1</v>
      </c>
      <c r="AC159" s="6">
        <v>46110.729166666664</v>
      </c>
      <c r="AD159" s="12">
        <v>600</v>
      </c>
      <c r="AZ159" s="22"/>
    </row>
    <row r="160" spans="19:52" x14ac:dyDescent="0.35">
      <c r="S160" s="6">
        <v>46082.760416666664</v>
      </c>
      <c r="T160" s="12"/>
      <c r="U160" s="12">
        <v>1</v>
      </c>
      <c r="V160" s="12"/>
      <c r="W160" s="12">
        <v>1</v>
      </c>
      <c r="AC160" s="6">
        <v>46111.625</v>
      </c>
      <c r="AD160" s="12">
        <v>400</v>
      </c>
      <c r="AZ160" s="22"/>
    </row>
    <row r="161" spans="19:52" x14ac:dyDescent="0.35">
      <c r="S161" s="6">
        <v>46083.333333333336</v>
      </c>
      <c r="T161" s="12"/>
      <c r="U161" s="12"/>
      <c r="V161" s="12">
        <v>1</v>
      </c>
      <c r="W161" s="12">
        <v>1</v>
      </c>
      <c r="AC161" s="6">
        <v>46112.34375</v>
      </c>
      <c r="AD161" s="12">
        <v>500</v>
      </c>
      <c r="AZ161" s="22"/>
    </row>
    <row r="162" spans="19:52" x14ac:dyDescent="0.35">
      <c r="S162" s="6">
        <v>46083.604166666664</v>
      </c>
      <c r="T162" s="12"/>
      <c r="U162" s="12">
        <v>1</v>
      </c>
      <c r="V162" s="12"/>
      <c r="W162" s="12">
        <v>1</v>
      </c>
      <c r="AC162" s="6">
        <v>46112.53125</v>
      </c>
      <c r="AD162" s="12">
        <v>900</v>
      </c>
      <c r="AZ162" s="22"/>
    </row>
    <row r="163" spans="19:52" x14ac:dyDescent="0.35">
      <c r="S163" s="6">
        <v>46083.770833333336</v>
      </c>
      <c r="T163" s="12"/>
      <c r="U163" s="12"/>
      <c r="V163" s="12">
        <v>1</v>
      </c>
      <c r="W163" s="12">
        <v>1</v>
      </c>
      <c r="AC163" s="6">
        <v>46112.6875</v>
      </c>
      <c r="AD163" s="12">
        <v>800</v>
      </c>
      <c r="AZ163" s="22"/>
    </row>
    <row r="164" spans="19:52" x14ac:dyDescent="0.35">
      <c r="S164" s="6">
        <v>46084.34375</v>
      </c>
      <c r="T164" s="12">
        <v>1</v>
      </c>
      <c r="U164" s="12">
        <v>1</v>
      </c>
      <c r="V164" s="12"/>
      <c r="W164" s="12">
        <v>2</v>
      </c>
      <c r="AC164" s="6">
        <v>46114.645833333336</v>
      </c>
      <c r="AD164" s="12">
        <v>500</v>
      </c>
      <c r="AZ164" s="22"/>
    </row>
    <row r="165" spans="19:52" x14ac:dyDescent="0.35">
      <c r="S165" s="6">
        <v>46084.479166666664</v>
      </c>
      <c r="T165" s="12"/>
      <c r="U165" s="12"/>
      <c r="V165" s="12">
        <v>1</v>
      </c>
      <c r="W165" s="12">
        <v>1</v>
      </c>
      <c r="AC165" s="6">
        <v>46115.677083333336</v>
      </c>
      <c r="AD165" s="12">
        <v>1000</v>
      </c>
      <c r="AZ165" s="22"/>
    </row>
    <row r="166" spans="19:52" x14ac:dyDescent="0.35">
      <c r="S166" s="6">
        <v>46085.65625</v>
      </c>
      <c r="T166" s="12">
        <v>1</v>
      </c>
      <c r="U166" s="12"/>
      <c r="V166" s="12"/>
      <c r="W166" s="12">
        <v>1</v>
      </c>
      <c r="AC166" s="6">
        <v>46115.708333333336</v>
      </c>
      <c r="AD166" s="12">
        <v>500</v>
      </c>
      <c r="AZ166" s="22"/>
    </row>
    <row r="167" spans="19:52" x14ac:dyDescent="0.35">
      <c r="S167" s="6">
        <v>46085.677083333336</v>
      </c>
      <c r="T167" s="12"/>
      <c r="U167" s="12">
        <v>1</v>
      </c>
      <c r="V167" s="12"/>
      <c r="W167" s="12">
        <v>1</v>
      </c>
      <c r="AC167" s="6">
        <v>46116.59375</v>
      </c>
      <c r="AD167" s="12">
        <v>500</v>
      </c>
      <c r="AZ167" s="22"/>
    </row>
    <row r="168" spans="19:52" x14ac:dyDescent="0.35">
      <c r="S168" s="6">
        <v>46086.4375</v>
      </c>
      <c r="T168" s="12">
        <v>1</v>
      </c>
      <c r="U168" s="12"/>
      <c r="V168" s="12"/>
      <c r="W168" s="12">
        <v>1</v>
      </c>
      <c r="AC168" s="6">
        <v>46117.364583333336</v>
      </c>
      <c r="AD168" s="12">
        <v>800</v>
      </c>
      <c r="AZ168" s="22"/>
    </row>
    <row r="169" spans="19:52" x14ac:dyDescent="0.35">
      <c r="S169" s="6">
        <v>46086.770833333336</v>
      </c>
      <c r="T169" s="12"/>
      <c r="U169" s="12">
        <v>1</v>
      </c>
      <c r="V169" s="12"/>
      <c r="W169" s="12">
        <v>1</v>
      </c>
      <c r="AC169" s="6">
        <v>46117.385416666664</v>
      </c>
      <c r="AD169" s="12">
        <v>1000</v>
      </c>
      <c r="AZ169" s="22"/>
    </row>
    <row r="170" spans="19:52" x14ac:dyDescent="0.35">
      <c r="S170" s="6">
        <v>46088.364583333336</v>
      </c>
      <c r="T170" s="12"/>
      <c r="U170" s="12">
        <v>1</v>
      </c>
      <c r="V170" s="12"/>
      <c r="W170" s="12">
        <v>1</v>
      </c>
      <c r="AC170" s="6">
        <v>46117.583333333336</v>
      </c>
      <c r="AD170" s="12">
        <v>600</v>
      </c>
      <c r="AZ170" s="22"/>
    </row>
    <row r="171" spans="19:52" x14ac:dyDescent="0.35">
      <c r="S171" s="6">
        <v>46088.458333333336</v>
      </c>
      <c r="T171" s="12"/>
      <c r="U171" s="12"/>
      <c r="V171" s="12">
        <v>1</v>
      </c>
      <c r="W171" s="12">
        <v>1</v>
      </c>
      <c r="AC171" s="6">
        <v>46118.458333333336</v>
      </c>
      <c r="AD171" s="12">
        <v>700</v>
      </c>
      <c r="AZ171" s="22"/>
    </row>
    <row r="172" spans="19:52" x14ac:dyDescent="0.35">
      <c r="S172" s="6">
        <v>46089.375</v>
      </c>
      <c r="T172" s="12"/>
      <c r="U172" s="12">
        <v>1</v>
      </c>
      <c r="V172" s="12"/>
      <c r="W172" s="12">
        <v>1</v>
      </c>
      <c r="AC172" s="6">
        <v>46119.520833333336</v>
      </c>
      <c r="AD172" s="12">
        <v>500</v>
      </c>
      <c r="AZ172" s="22"/>
    </row>
    <row r="173" spans="19:52" x14ac:dyDescent="0.35">
      <c r="S173" s="6">
        <v>46089.40625</v>
      </c>
      <c r="T173" s="12"/>
      <c r="U173" s="12"/>
      <c r="V173" s="12">
        <v>1</v>
      </c>
      <c r="W173" s="12">
        <v>1</v>
      </c>
      <c r="AC173" s="6">
        <v>46120.364583333336</v>
      </c>
      <c r="AD173" s="12">
        <v>1100</v>
      </c>
      <c r="AZ173" s="22"/>
    </row>
    <row r="174" spans="19:52" x14ac:dyDescent="0.35">
      <c r="S174" s="6">
        <v>46089.479166666664</v>
      </c>
      <c r="T174" s="12"/>
      <c r="U174" s="12">
        <v>1</v>
      </c>
      <c r="V174" s="12"/>
      <c r="W174" s="12">
        <v>1</v>
      </c>
      <c r="AC174" s="6">
        <v>46120.40625</v>
      </c>
      <c r="AD174" s="12">
        <v>900</v>
      </c>
      <c r="AZ174" s="22"/>
    </row>
    <row r="175" spans="19:52" x14ac:dyDescent="0.35">
      <c r="S175" s="6">
        <v>46089.583333333336</v>
      </c>
      <c r="T175" s="12"/>
      <c r="U175" s="12"/>
      <c r="V175" s="12">
        <v>1</v>
      </c>
      <c r="W175" s="12">
        <v>1</v>
      </c>
      <c r="AC175" s="6">
        <v>46120.53125</v>
      </c>
      <c r="AD175" s="12">
        <v>600</v>
      </c>
      <c r="AZ175" s="22"/>
    </row>
    <row r="176" spans="19:52" x14ac:dyDescent="0.35">
      <c r="S176" s="6">
        <v>46089.71875</v>
      </c>
      <c r="T176" s="12"/>
      <c r="U176" s="12"/>
      <c r="V176" s="12">
        <v>1</v>
      </c>
      <c r="W176" s="12">
        <v>1</v>
      </c>
      <c r="AC176" s="6">
        <v>46121.427083333336</v>
      </c>
      <c r="AD176" s="12">
        <v>900</v>
      </c>
      <c r="AZ176" s="22"/>
    </row>
    <row r="177" spans="19:52" x14ac:dyDescent="0.35">
      <c r="S177" s="6">
        <v>46090.385416666664</v>
      </c>
      <c r="T177" s="12"/>
      <c r="U177" s="12">
        <v>1</v>
      </c>
      <c r="V177" s="12"/>
      <c r="W177" s="12">
        <v>1</v>
      </c>
      <c r="AC177" s="6">
        <v>46121.489583333336</v>
      </c>
      <c r="AD177" s="12">
        <v>1000</v>
      </c>
      <c r="AZ177" s="22"/>
    </row>
    <row r="178" spans="19:52" x14ac:dyDescent="0.35">
      <c r="S178" s="6">
        <v>46090.46875</v>
      </c>
      <c r="T178" s="12"/>
      <c r="U178" s="12"/>
      <c r="V178" s="12">
        <v>1</v>
      </c>
      <c r="W178" s="12">
        <v>1</v>
      </c>
      <c r="AC178" s="6">
        <v>46121.697916666664</v>
      </c>
      <c r="AD178" s="12">
        <v>1100</v>
      </c>
      <c r="AZ178" s="22"/>
    </row>
    <row r="179" spans="19:52" x14ac:dyDescent="0.35">
      <c r="S179" s="6">
        <v>46090.760416666664</v>
      </c>
      <c r="T179" s="12"/>
      <c r="U179" s="12">
        <v>1</v>
      </c>
      <c r="V179" s="12"/>
      <c r="W179" s="12">
        <v>1</v>
      </c>
      <c r="AC179" s="6">
        <v>46122.34375</v>
      </c>
      <c r="AD179" s="12">
        <v>500</v>
      </c>
      <c r="AZ179" s="22"/>
    </row>
    <row r="180" spans="19:52" x14ac:dyDescent="0.35">
      <c r="S180" s="6">
        <v>46091.677083333336</v>
      </c>
      <c r="T180" s="12"/>
      <c r="U180" s="12">
        <v>1</v>
      </c>
      <c r="V180" s="12"/>
      <c r="W180" s="12">
        <v>1</v>
      </c>
      <c r="AC180" s="6">
        <v>46122.510416666664</v>
      </c>
      <c r="AD180" s="12">
        <v>500</v>
      </c>
      <c r="AZ180" s="22"/>
    </row>
    <row r="181" spans="19:52" x14ac:dyDescent="0.35">
      <c r="S181" s="6">
        <v>46091.708333333336</v>
      </c>
      <c r="T181" s="12"/>
      <c r="U181" s="12">
        <v>1</v>
      </c>
      <c r="V181" s="12"/>
      <c r="W181" s="12">
        <v>1</v>
      </c>
      <c r="AC181" s="6">
        <v>46122.604166666664</v>
      </c>
      <c r="AD181" s="12">
        <v>700</v>
      </c>
    </row>
    <row r="182" spans="19:52" x14ac:dyDescent="0.35">
      <c r="S182" s="6">
        <v>46091.71875</v>
      </c>
      <c r="T182" s="12"/>
      <c r="U182" s="12">
        <v>1</v>
      </c>
      <c r="V182" s="12"/>
      <c r="W182" s="12">
        <v>1</v>
      </c>
      <c r="AC182" s="6">
        <v>46122.697916666664</v>
      </c>
      <c r="AD182" s="12">
        <v>800</v>
      </c>
    </row>
    <row r="183" spans="19:52" x14ac:dyDescent="0.35">
      <c r="S183" s="6">
        <v>46092.333333333336</v>
      </c>
      <c r="T183" s="12"/>
      <c r="U183" s="12"/>
      <c r="V183" s="12">
        <v>1</v>
      </c>
      <c r="W183" s="12">
        <v>1</v>
      </c>
      <c r="AC183" s="6">
        <v>46122.78125</v>
      </c>
      <c r="AD183" s="12">
        <v>500</v>
      </c>
    </row>
    <row r="184" spans="19:52" x14ac:dyDescent="0.35">
      <c r="S184" s="6">
        <v>46092.458333333336</v>
      </c>
      <c r="T184" s="12"/>
      <c r="U184" s="12">
        <v>1</v>
      </c>
      <c r="V184" s="12"/>
      <c r="W184" s="12">
        <v>1</v>
      </c>
      <c r="AC184" s="6">
        <v>46123.489583333336</v>
      </c>
      <c r="AD184" s="12">
        <v>800</v>
      </c>
    </row>
    <row r="185" spans="19:52" x14ac:dyDescent="0.35">
      <c r="S185" s="6">
        <v>46092.708333333336</v>
      </c>
      <c r="T185" s="12"/>
      <c r="U185" s="12">
        <v>1</v>
      </c>
      <c r="V185" s="12"/>
      <c r="W185" s="12">
        <v>1</v>
      </c>
      <c r="AC185" s="6">
        <v>46128.34375</v>
      </c>
      <c r="AD185" s="12">
        <v>500</v>
      </c>
    </row>
    <row r="186" spans="19:52" x14ac:dyDescent="0.35">
      <c r="S186" s="6">
        <v>46093.34375</v>
      </c>
      <c r="T186" s="12"/>
      <c r="U186" s="12"/>
      <c r="V186" s="12">
        <v>1</v>
      </c>
      <c r="W186" s="12">
        <v>1</v>
      </c>
      <c r="AC186" s="6">
        <v>46128.479166666664</v>
      </c>
      <c r="AD186" s="12">
        <v>800</v>
      </c>
    </row>
    <row r="187" spans="19:52" x14ac:dyDescent="0.35">
      <c r="S187" s="6">
        <v>46093.46875</v>
      </c>
      <c r="T187" s="12"/>
      <c r="U187" s="12">
        <v>1</v>
      </c>
      <c r="V187" s="12"/>
      <c r="W187" s="12">
        <v>1</v>
      </c>
      <c r="AC187" s="6">
        <v>46128.614583333336</v>
      </c>
      <c r="AD187" s="12">
        <v>800</v>
      </c>
    </row>
    <row r="188" spans="19:52" x14ac:dyDescent="0.35">
      <c r="S188" s="6">
        <v>46093.520833333336</v>
      </c>
      <c r="T188" s="12"/>
      <c r="U188" s="12">
        <v>1</v>
      </c>
      <c r="V188" s="12"/>
      <c r="W188" s="12">
        <v>1</v>
      </c>
      <c r="AC188" s="6">
        <v>46129.583333333336</v>
      </c>
      <c r="AD188" s="12">
        <v>700</v>
      </c>
    </row>
    <row r="189" spans="19:52" x14ac:dyDescent="0.35">
      <c r="S189" s="6">
        <v>46093.614583333336</v>
      </c>
      <c r="T189" s="12">
        <v>1</v>
      </c>
      <c r="U189" s="12"/>
      <c r="V189" s="12"/>
      <c r="W189" s="12">
        <v>1</v>
      </c>
      <c r="AC189" s="6">
        <v>46129.71875</v>
      </c>
      <c r="AD189" s="12">
        <v>500</v>
      </c>
    </row>
    <row r="190" spans="19:52" x14ac:dyDescent="0.35">
      <c r="S190" s="6">
        <v>46093.635416666664</v>
      </c>
      <c r="T190" s="12">
        <v>1</v>
      </c>
      <c r="U190" s="12"/>
      <c r="V190" s="12"/>
      <c r="W190" s="12">
        <v>1</v>
      </c>
      <c r="AC190" s="6">
        <v>46130.53125</v>
      </c>
      <c r="AD190" s="12">
        <v>700</v>
      </c>
    </row>
    <row r="191" spans="19:52" x14ac:dyDescent="0.35">
      <c r="S191" s="6">
        <v>46093.770833333336</v>
      </c>
      <c r="T191" s="12"/>
      <c r="U191" s="12">
        <v>1</v>
      </c>
      <c r="V191" s="12"/>
      <c r="W191" s="12">
        <v>1</v>
      </c>
      <c r="AC191" s="6">
        <v>46130.760416666664</v>
      </c>
      <c r="AD191" s="12">
        <v>600</v>
      </c>
    </row>
    <row r="192" spans="19:52" x14ac:dyDescent="0.35">
      <c r="S192" s="6">
        <v>46094.354166666664</v>
      </c>
      <c r="T192" s="12"/>
      <c r="U192" s="12">
        <v>1</v>
      </c>
      <c r="V192" s="12"/>
      <c r="W192" s="12">
        <v>1</v>
      </c>
      <c r="AC192" s="6">
        <v>46130.78125</v>
      </c>
      <c r="AD192" s="12">
        <v>1000</v>
      </c>
    </row>
    <row r="193" spans="19:30" x14ac:dyDescent="0.35">
      <c r="S193" s="6">
        <v>46094.447916666664</v>
      </c>
      <c r="T193" s="12"/>
      <c r="U193" s="12"/>
      <c r="V193" s="12">
        <v>1</v>
      </c>
      <c r="W193" s="12">
        <v>1</v>
      </c>
      <c r="AC193" s="6">
        <v>46131.385416666664</v>
      </c>
      <c r="AD193" s="12">
        <v>700</v>
      </c>
    </row>
    <row r="194" spans="19:30" x14ac:dyDescent="0.35">
      <c r="S194" s="6">
        <v>46094.645833333336</v>
      </c>
      <c r="T194" s="12"/>
      <c r="U194" s="12">
        <v>1</v>
      </c>
      <c r="V194" s="12"/>
      <c r="W194" s="12">
        <v>1</v>
      </c>
      <c r="AC194" s="6">
        <v>46131.4375</v>
      </c>
      <c r="AD194" s="12">
        <v>500</v>
      </c>
    </row>
    <row r="195" spans="19:30" x14ac:dyDescent="0.35">
      <c r="S195" s="6">
        <v>46094.677083333336</v>
      </c>
      <c r="T195" s="12"/>
      <c r="U195" s="12">
        <v>1</v>
      </c>
      <c r="V195" s="12"/>
      <c r="W195" s="12">
        <v>1</v>
      </c>
      <c r="AC195" s="6">
        <v>46131.625</v>
      </c>
      <c r="AD195" s="12">
        <v>500</v>
      </c>
    </row>
    <row r="196" spans="19:30" x14ac:dyDescent="0.35">
      <c r="S196" s="6">
        <v>46094.770833333336</v>
      </c>
      <c r="T196" s="12">
        <v>1</v>
      </c>
      <c r="U196" s="12"/>
      <c r="V196" s="12"/>
      <c r="W196" s="12">
        <v>1</v>
      </c>
      <c r="AC196" s="6">
        <v>46131.729166666664</v>
      </c>
      <c r="AD196" s="12">
        <v>600</v>
      </c>
    </row>
    <row r="197" spans="19:30" x14ac:dyDescent="0.35">
      <c r="S197" s="6">
        <v>46095.375</v>
      </c>
      <c r="T197" s="12"/>
      <c r="U197" s="12">
        <v>1</v>
      </c>
      <c r="V197" s="12"/>
      <c r="W197" s="12">
        <v>1</v>
      </c>
      <c r="AC197" s="6">
        <v>46132.520833333336</v>
      </c>
      <c r="AD197" s="12">
        <v>700</v>
      </c>
    </row>
    <row r="198" spans="19:30" x14ac:dyDescent="0.35">
      <c r="S198" s="6">
        <v>46095.385416666664</v>
      </c>
      <c r="T198" s="12"/>
      <c r="U198" s="12">
        <v>1</v>
      </c>
      <c r="V198" s="12"/>
      <c r="W198" s="12">
        <v>1</v>
      </c>
      <c r="AC198" s="6">
        <v>46133.489583333336</v>
      </c>
      <c r="AD198" s="12">
        <v>600</v>
      </c>
    </row>
    <row r="199" spans="19:30" x14ac:dyDescent="0.35">
      <c r="S199" s="6">
        <v>46095.520833333336</v>
      </c>
      <c r="T199" s="12"/>
      <c r="U199" s="12">
        <v>1</v>
      </c>
      <c r="V199" s="12"/>
      <c r="W199" s="12">
        <v>1</v>
      </c>
      <c r="AC199" s="6">
        <v>46134.458333333336</v>
      </c>
      <c r="AD199" s="12">
        <v>900</v>
      </c>
    </row>
    <row r="200" spans="19:30" x14ac:dyDescent="0.35">
      <c r="S200" s="6">
        <v>46095.59375</v>
      </c>
      <c r="T200" s="12">
        <v>1</v>
      </c>
      <c r="U200" s="12"/>
      <c r="V200" s="12"/>
      <c r="W200" s="12">
        <v>1</v>
      </c>
      <c r="AC200" s="6">
        <v>46134.666666666664</v>
      </c>
      <c r="AD200" s="12">
        <v>800</v>
      </c>
    </row>
    <row r="201" spans="19:30" x14ac:dyDescent="0.35">
      <c r="S201" s="6">
        <v>46095.697916666664</v>
      </c>
      <c r="T201" s="12"/>
      <c r="U201" s="12">
        <v>1</v>
      </c>
      <c r="V201" s="12"/>
      <c r="W201" s="12">
        <v>1</v>
      </c>
      <c r="AC201" s="6">
        <v>46134.6875</v>
      </c>
      <c r="AD201" s="12">
        <v>700</v>
      </c>
    </row>
    <row r="202" spans="19:30" x14ac:dyDescent="0.35">
      <c r="S202" s="6">
        <v>46095.729166666664</v>
      </c>
      <c r="T202" s="12"/>
      <c r="U202" s="12">
        <v>1</v>
      </c>
      <c r="V202" s="12"/>
      <c r="W202" s="12">
        <v>1</v>
      </c>
      <c r="AC202" s="6">
        <v>46135.375</v>
      </c>
      <c r="AD202" s="12">
        <v>500</v>
      </c>
    </row>
    <row r="203" spans="19:30" x14ac:dyDescent="0.35">
      <c r="S203" s="6">
        <v>46096.583333333336</v>
      </c>
      <c r="T203" s="12"/>
      <c r="U203" s="12"/>
      <c r="V203" s="12">
        <v>1</v>
      </c>
      <c r="W203" s="12">
        <v>1</v>
      </c>
      <c r="AC203" s="6">
        <v>46135.427083333336</v>
      </c>
      <c r="AD203" s="12">
        <v>400</v>
      </c>
    </row>
    <row r="204" spans="19:30" x14ac:dyDescent="0.35">
      <c r="S204" s="6">
        <v>46096.677083333336</v>
      </c>
      <c r="T204" s="12"/>
      <c r="U204" s="12"/>
      <c r="V204" s="12">
        <v>1</v>
      </c>
      <c r="W204" s="12">
        <v>1</v>
      </c>
      <c r="AC204" s="6">
        <v>46135.46875</v>
      </c>
      <c r="AD204" s="12">
        <v>1000</v>
      </c>
    </row>
    <row r="205" spans="19:30" x14ac:dyDescent="0.35">
      <c r="S205" s="6">
        <v>46096.729166666664</v>
      </c>
      <c r="T205" s="12"/>
      <c r="U205" s="12">
        <v>1</v>
      </c>
      <c r="V205" s="12"/>
      <c r="W205" s="12">
        <v>1</v>
      </c>
      <c r="AC205" s="6">
        <v>46135.5</v>
      </c>
      <c r="AD205" s="12">
        <v>800</v>
      </c>
    </row>
    <row r="206" spans="19:30" x14ac:dyDescent="0.35">
      <c r="S206" s="6">
        <v>46097.520833333336</v>
      </c>
      <c r="T206" s="12"/>
      <c r="U206" s="12">
        <v>1</v>
      </c>
      <c r="V206" s="12"/>
      <c r="W206" s="12">
        <v>1</v>
      </c>
      <c r="AC206" s="6">
        <v>46135.645833333336</v>
      </c>
      <c r="AD206" s="12">
        <v>800</v>
      </c>
    </row>
    <row r="207" spans="19:30" x14ac:dyDescent="0.35">
      <c r="S207" s="6">
        <v>46097.770833333336</v>
      </c>
      <c r="T207" s="12">
        <v>1</v>
      </c>
      <c r="U207" s="12"/>
      <c r="V207" s="12"/>
      <c r="W207" s="12">
        <v>1</v>
      </c>
      <c r="AC207" s="6">
        <v>46135.65625</v>
      </c>
      <c r="AD207" s="12">
        <v>1000</v>
      </c>
    </row>
    <row r="208" spans="19:30" x14ac:dyDescent="0.35">
      <c r="S208" s="6">
        <v>46098.375</v>
      </c>
      <c r="T208" s="12"/>
      <c r="U208" s="12"/>
      <c r="V208" s="12">
        <v>1</v>
      </c>
      <c r="W208" s="12">
        <v>1</v>
      </c>
      <c r="AC208" s="6">
        <v>46136.4375</v>
      </c>
      <c r="AD208" s="12">
        <v>1000</v>
      </c>
    </row>
    <row r="209" spans="19:30" x14ac:dyDescent="0.35">
      <c r="S209" s="6">
        <v>46098.458333333336</v>
      </c>
      <c r="T209" s="12">
        <v>1</v>
      </c>
      <c r="U209" s="12"/>
      <c r="V209" s="12"/>
      <c r="W209" s="12">
        <v>1</v>
      </c>
      <c r="AC209" s="6">
        <v>46137.583333333336</v>
      </c>
      <c r="AD209" s="12">
        <v>900</v>
      </c>
    </row>
    <row r="210" spans="19:30" x14ac:dyDescent="0.35">
      <c r="S210" s="6">
        <v>46098.489583333336</v>
      </c>
      <c r="T210" s="12"/>
      <c r="U210" s="12"/>
      <c r="V210" s="12">
        <v>1</v>
      </c>
      <c r="W210" s="12">
        <v>1</v>
      </c>
      <c r="AC210" s="6">
        <v>46137.614583333336</v>
      </c>
      <c r="AD210" s="12">
        <v>700</v>
      </c>
    </row>
    <row r="211" spans="19:30" x14ac:dyDescent="0.35">
      <c r="S211" s="6">
        <v>46098.583333333336</v>
      </c>
      <c r="T211" s="12"/>
      <c r="U211" s="12">
        <v>1</v>
      </c>
      <c r="V211" s="12"/>
      <c r="W211" s="12">
        <v>1</v>
      </c>
      <c r="AC211" s="6">
        <v>46138.583333333336</v>
      </c>
      <c r="AD211" s="12">
        <v>1000</v>
      </c>
    </row>
    <row r="212" spans="19:30" x14ac:dyDescent="0.35">
      <c r="S212" s="6">
        <v>46099.333333333336</v>
      </c>
      <c r="T212" s="12"/>
      <c r="U212" s="12">
        <v>1</v>
      </c>
      <c r="V212" s="12"/>
      <c r="W212" s="12">
        <v>1</v>
      </c>
      <c r="AC212" s="6">
        <v>46138.65625</v>
      </c>
      <c r="AD212" s="12">
        <v>700</v>
      </c>
    </row>
    <row r="213" spans="19:30" x14ac:dyDescent="0.35">
      <c r="S213" s="6">
        <v>46099.427083333336</v>
      </c>
      <c r="T213" s="12"/>
      <c r="U213" s="12">
        <v>1</v>
      </c>
      <c r="V213" s="12"/>
      <c r="W213" s="12">
        <v>1</v>
      </c>
      <c r="AC213" s="6">
        <v>46138.677083333336</v>
      </c>
      <c r="AD213" s="12">
        <v>1400</v>
      </c>
    </row>
    <row r="214" spans="19:30" x14ac:dyDescent="0.35">
      <c r="S214" s="6">
        <v>46099.65625</v>
      </c>
      <c r="T214" s="12">
        <v>1</v>
      </c>
      <c r="U214" s="12"/>
      <c r="V214" s="12"/>
      <c r="W214" s="12">
        <v>1</v>
      </c>
      <c r="AC214" s="6">
        <v>46138.75</v>
      </c>
      <c r="AD214" s="12">
        <v>800</v>
      </c>
    </row>
    <row r="215" spans="19:30" x14ac:dyDescent="0.35">
      <c r="S215" s="6">
        <v>46099.697916666664</v>
      </c>
      <c r="T215" s="12">
        <v>1</v>
      </c>
      <c r="U215" s="12"/>
      <c r="V215" s="12"/>
      <c r="W215" s="12">
        <v>1</v>
      </c>
      <c r="AC215" s="6">
        <v>46138.78125</v>
      </c>
      <c r="AD215" s="12">
        <v>1000</v>
      </c>
    </row>
    <row r="216" spans="19:30" x14ac:dyDescent="0.35">
      <c r="S216" s="6">
        <v>46099.78125</v>
      </c>
      <c r="T216" s="12"/>
      <c r="U216" s="12">
        <v>1</v>
      </c>
      <c r="V216" s="12"/>
      <c r="W216" s="12">
        <v>1</v>
      </c>
      <c r="AC216" s="6">
        <v>46139.395833333336</v>
      </c>
      <c r="AD216" s="12">
        <v>700</v>
      </c>
    </row>
    <row r="217" spans="19:30" x14ac:dyDescent="0.35">
      <c r="S217" s="6">
        <v>46100.520833333336</v>
      </c>
      <c r="T217" s="12"/>
      <c r="U217" s="12">
        <v>1</v>
      </c>
      <c r="V217" s="12"/>
      <c r="W217" s="12">
        <v>1</v>
      </c>
      <c r="AC217" s="6">
        <v>46139.489583333336</v>
      </c>
      <c r="AD217" s="12">
        <v>700</v>
      </c>
    </row>
    <row r="218" spans="19:30" x14ac:dyDescent="0.35">
      <c r="S218" s="6">
        <v>46101.645833333336</v>
      </c>
      <c r="T218" s="12"/>
      <c r="U218" s="12">
        <v>1</v>
      </c>
      <c r="V218" s="12"/>
      <c r="W218" s="12">
        <v>1</v>
      </c>
      <c r="AC218" s="6">
        <v>46139.739583333336</v>
      </c>
      <c r="AD218" s="12">
        <v>500</v>
      </c>
    </row>
    <row r="219" spans="19:30" x14ac:dyDescent="0.35">
      <c r="S219" s="6">
        <v>46102.427083333336</v>
      </c>
      <c r="T219" s="12"/>
      <c r="U219" s="12">
        <v>1</v>
      </c>
      <c r="V219" s="12"/>
      <c r="W219" s="12">
        <v>1</v>
      </c>
      <c r="AC219" s="6">
        <v>46139.75</v>
      </c>
      <c r="AD219" s="12">
        <v>900</v>
      </c>
    </row>
    <row r="220" spans="19:30" x14ac:dyDescent="0.35">
      <c r="S220" s="6">
        <v>46102.645833333336</v>
      </c>
      <c r="T220" s="12"/>
      <c r="U220" s="12">
        <v>1</v>
      </c>
      <c r="V220" s="12"/>
      <c r="W220" s="12">
        <v>1</v>
      </c>
      <c r="AC220" s="6">
        <v>46140.385416666664</v>
      </c>
      <c r="AD220" s="12">
        <v>500</v>
      </c>
    </row>
    <row r="221" spans="19:30" x14ac:dyDescent="0.35">
      <c r="S221" s="6">
        <v>46102.697916666664</v>
      </c>
      <c r="T221" s="12"/>
      <c r="U221" s="12">
        <v>1</v>
      </c>
      <c r="V221" s="12"/>
      <c r="W221" s="12">
        <v>1</v>
      </c>
      <c r="AC221" s="6">
        <v>46140.604166666664</v>
      </c>
      <c r="AD221" s="12">
        <v>800</v>
      </c>
    </row>
    <row r="222" spans="19:30" x14ac:dyDescent="0.35">
      <c r="S222" s="6">
        <v>46103.427083333336</v>
      </c>
      <c r="T222" s="12"/>
      <c r="U222" s="12">
        <v>1</v>
      </c>
      <c r="V222" s="12"/>
      <c r="W222" s="12">
        <v>1</v>
      </c>
      <c r="AC222" s="6">
        <v>46141.416666666664</v>
      </c>
      <c r="AD222" s="12">
        <v>800</v>
      </c>
    </row>
    <row r="223" spans="19:30" x14ac:dyDescent="0.35">
      <c r="S223" s="6">
        <v>46103.635416666664</v>
      </c>
      <c r="T223" s="12"/>
      <c r="U223" s="12">
        <v>1</v>
      </c>
      <c r="V223" s="12"/>
      <c r="W223" s="12">
        <v>1</v>
      </c>
      <c r="AC223" s="6">
        <v>46141.75</v>
      </c>
      <c r="AD223" s="12">
        <v>900</v>
      </c>
    </row>
    <row r="224" spans="19:30" x14ac:dyDescent="0.35">
      <c r="S224" s="6">
        <v>46104.479166666664</v>
      </c>
      <c r="T224" s="12"/>
      <c r="U224" s="12">
        <v>1</v>
      </c>
      <c r="V224" s="12"/>
      <c r="W224" s="12">
        <v>1</v>
      </c>
      <c r="AC224" s="6">
        <v>46144.385416666664</v>
      </c>
      <c r="AD224" s="12">
        <v>800</v>
      </c>
    </row>
    <row r="225" spans="19:30" x14ac:dyDescent="0.35">
      <c r="S225" s="6">
        <v>46104.6875</v>
      </c>
      <c r="T225" s="12">
        <v>1</v>
      </c>
      <c r="U225" s="12"/>
      <c r="V225" s="12"/>
      <c r="W225" s="12">
        <v>1</v>
      </c>
      <c r="AC225" s="6">
        <v>46145.375</v>
      </c>
      <c r="AD225" s="12">
        <v>1100</v>
      </c>
    </row>
    <row r="226" spans="19:30" x14ac:dyDescent="0.35">
      <c r="S226" s="6">
        <v>46105.5</v>
      </c>
      <c r="T226" s="12"/>
      <c r="U226" s="12">
        <v>1</v>
      </c>
      <c r="V226" s="12"/>
      <c r="W226" s="12">
        <v>1</v>
      </c>
      <c r="AC226" s="6">
        <v>46145.479166666664</v>
      </c>
      <c r="AD226" s="12">
        <v>800</v>
      </c>
    </row>
    <row r="227" spans="19:30" x14ac:dyDescent="0.35">
      <c r="S227" s="6">
        <v>46105.53125</v>
      </c>
      <c r="T227" s="12">
        <v>1</v>
      </c>
      <c r="U227" s="12"/>
      <c r="V227" s="12"/>
      <c r="W227" s="12">
        <v>1</v>
      </c>
      <c r="AC227" s="6">
        <v>46145.59375</v>
      </c>
      <c r="AD227" s="12">
        <v>500</v>
      </c>
    </row>
    <row r="228" spans="19:30" x14ac:dyDescent="0.35">
      <c r="S228" s="6">
        <v>46106.375</v>
      </c>
      <c r="T228" s="12"/>
      <c r="U228" s="12">
        <v>1</v>
      </c>
      <c r="V228" s="12"/>
      <c r="W228" s="12">
        <v>1</v>
      </c>
      <c r="AC228" s="6">
        <v>46145.625</v>
      </c>
      <c r="AD228" s="12">
        <v>600</v>
      </c>
    </row>
    <row r="229" spans="19:30" x14ac:dyDescent="0.35">
      <c r="S229" s="6">
        <v>46106.75</v>
      </c>
      <c r="T229" s="12"/>
      <c r="U229" s="12">
        <v>1</v>
      </c>
      <c r="V229" s="12"/>
      <c r="W229" s="12">
        <v>1</v>
      </c>
      <c r="AC229" s="6">
        <v>46146.427083333336</v>
      </c>
      <c r="AD229" s="12">
        <v>600</v>
      </c>
    </row>
    <row r="230" spans="19:30" x14ac:dyDescent="0.35">
      <c r="S230" s="6">
        <v>46107.6875</v>
      </c>
      <c r="T230" s="12"/>
      <c r="U230" s="12">
        <v>1</v>
      </c>
      <c r="V230" s="12"/>
      <c r="W230" s="12">
        <v>1</v>
      </c>
      <c r="AC230" s="6">
        <v>46148.59375</v>
      </c>
      <c r="AD230" s="12">
        <v>900</v>
      </c>
    </row>
    <row r="231" spans="19:30" x14ac:dyDescent="0.35">
      <c r="S231" s="6">
        <v>46108.4375</v>
      </c>
      <c r="T231" s="12"/>
      <c r="U231" s="12">
        <v>1</v>
      </c>
      <c r="V231" s="12"/>
      <c r="W231" s="12">
        <v>1</v>
      </c>
      <c r="AC231" s="6">
        <v>46148.78125</v>
      </c>
      <c r="AD231" s="12">
        <v>900</v>
      </c>
    </row>
    <row r="232" spans="19:30" x14ac:dyDescent="0.35">
      <c r="S232" s="6">
        <v>46108.53125</v>
      </c>
      <c r="T232" s="12"/>
      <c r="U232" s="12"/>
      <c r="V232" s="12">
        <v>1</v>
      </c>
      <c r="W232" s="12">
        <v>1</v>
      </c>
      <c r="AC232" s="6">
        <v>46149.416666666664</v>
      </c>
      <c r="AD232" s="12">
        <v>800</v>
      </c>
    </row>
    <row r="233" spans="19:30" x14ac:dyDescent="0.35">
      <c r="S233" s="6">
        <v>46108.583333333336</v>
      </c>
      <c r="T233" s="12"/>
      <c r="U233" s="12">
        <v>1</v>
      </c>
      <c r="V233" s="12"/>
      <c r="W233" s="12">
        <v>1</v>
      </c>
      <c r="AC233" s="6">
        <v>46150.53125</v>
      </c>
      <c r="AD233" s="12">
        <v>500</v>
      </c>
    </row>
    <row r="234" spans="19:30" x14ac:dyDescent="0.35">
      <c r="S234" s="6">
        <v>46109.34375</v>
      </c>
      <c r="T234" s="12">
        <v>1</v>
      </c>
      <c r="U234" s="12"/>
      <c r="V234" s="12"/>
      <c r="W234" s="12">
        <v>1</v>
      </c>
      <c r="AC234" s="6">
        <v>46150.729166666664</v>
      </c>
      <c r="AD234" s="12">
        <v>800</v>
      </c>
    </row>
    <row r="235" spans="19:30" x14ac:dyDescent="0.35">
      <c r="S235" s="6">
        <v>46109.364583333336</v>
      </c>
      <c r="T235" s="12"/>
      <c r="U235" s="12">
        <v>1</v>
      </c>
      <c r="V235" s="12"/>
      <c r="W235" s="12">
        <v>1</v>
      </c>
      <c r="AC235" s="6">
        <v>46151.416666666664</v>
      </c>
      <c r="AD235" s="12">
        <v>500</v>
      </c>
    </row>
    <row r="236" spans="19:30" x14ac:dyDescent="0.35">
      <c r="S236" s="6">
        <v>46109.385416666664</v>
      </c>
      <c r="T236" s="12"/>
      <c r="U236" s="12">
        <v>1</v>
      </c>
      <c r="V236" s="12"/>
      <c r="W236" s="12">
        <v>1</v>
      </c>
      <c r="AC236" s="6">
        <v>46151.427083333336</v>
      </c>
      <c r="AD236" s="12">
        <v>500</v>
      </c>
    </row>
    <row r="237" spans="19:30" x14ac:dyDescent="0.35">
      <c r="S237" s="6">
        <v>46109.510416666664</v>
      </c>
      <c r="T237" s="12"/>
      <c r="U237" s="12">
        <v>1</v>
      </c>
      <c r="V237" s="12"/>
      <c r="W237" s="12">
        <v>1</v>
      </c>
      <c r="AC237" s="6">
        <v>46151.71875</v>
      </c>
      <c r="AD237" s="12">
        <v>900</v>
      </c>
    </row>
    <row r="238" spans="19:30" x14ac:dyDescent="0.35">
      <c r="S238" s="6">
        <v>46109.78125</v>
      </c>
      <c r="T238" s="12"/>
      <c r="U238" s="12"/>
      <c r="V238" s="12">
        <v>2</v>
      </c>
      <c r="W238" s="12">
        <v>2</v>
      </c>
      <c r="AC238" s="6">
        <v>46151.729166666664</v>
      </c>
      <c r="AD238" s="12">
        <v>600</v>
      </c>
    </row>
    <row r="239" spans="19:30" x14ac:dyDescent="0.35">
      <c r="S239" s="6">
        <v>46110.729166666664</v>
      </c>
      <c r="T239" s="12"/>
      <c r="U239" s="12">
        <v>1</v>
      </c>
      <c r="V239" s="12"/>
      <c r="W239" s="12">
        <v>1</v>
      </c>
      <c r="AC239" s="6">
        <v>46152.53125</v>
      </c>
      <c r="AD239" s="12">
        <v>1100</v>
      </c>
    </row>
    <row r="240" spans="19:30" x14ac:dyDescent="0.35">
      <c r="S240" s="6">
        <v>46111.625</v>
      </c>
      <c r="T240" s="12"/>
      <c r="U240" s="12">
        <v>1</v>
      </c>
      <c r="V240" s="12"/>
      <c r="W240" s="12">
        <v>1</v>
      </c>
      <c r="AC240" s="6">
        <v>46152.6875</v>
      </c>
      <c r="AD240" s="12">
        <v>800</v>
      </c>
    </row>
    <row r="241" spans="19:30" x14ac:dyDescent="0.35">
      <c r="S241" s="6">
        <v>46112.34375</v>
      </c>
      <c r="T241" s="12"/>
      <c r="U241" s="12">
        <v>1</v>
      </c>
      <c r="V241" s="12"/>
      <c r="W241" s="12">
        <v>1</v>
      </c>
      <c r="AC241" s="6">
        <v>46153.375</v>
      </c>
      <c r="AD241" s="12">
        <v>800</v>
      </c>
    </row>
    <row r="242" spans="19:30" x14ac:dyDescent="0.35">
      <c r="S242" s="6">
        <v>46112.53125</v>
      </c>
      <c r="T242" s="12"/>
      <c r="U242" s="12">
        <v>1</v>
      </c>
      <c r="V242" s="12"/>
      <c r="W242" s="12">
        <v>1</v>
      </c>
      <c r="AC242" s="6">
        <v>46153.53125</v>
      </c>
      <c r="AD242" s="12">
        <v>600</v>
      </c>
    </row>
    <row r="243" spans="19:30" x14ac:dyDescent="0.35">
      <c r="S243" s="6">
        <v>46112.6875</v>
      </c>
      <c r="T243" s="12"/>
      <c r="U243" s="12">
        <v>1</v>
      </c>
      <c r="V243" s="12"/>
      <c r="W243" s="12">
        <v>1</v>
      </c>
      <c r="AC243" s="6">
        <v>46154.354166666664</v>
      </c>
      <c r="AD243" s="12">
        <v>600</v>
      </c>
    </row>
    <row r="244" spans="19:30" x14ac:dyDescent="0.35">
      <c r="S244" s="6">
        <v>46113.708333333336</v>
      </c>
      <c r="T244" s="12">
        <v>1</v>
      </c>
      <c r="U244" s="12"/>
      <c r="V244" s="12"/>
      <c r="W244" s="12">
        <v>1</v>
      </c>
      <c r="AC244" s="6">
        <v>46154.416666666664</v>
      </c>
      <c r="AD244" s="12">
        <v>600</v>
      </c>
    </row>
    <row r="245" spans="19:30" x14ac:dyDescent="0.35">
      <c r="S245" s="6">
        <v>46114.645833333336</v>
      </c>
      <c r="T245" s="12"/>
      <c r="U245" s="12">
        <v>1</v>
      </c>
      <c r="V245" s="12"/>
      <c r="W245" s="12">
        <v>1</v>
      </c>
      <c r="AC245" s="6">
        <v>46154.447916666664</v>
      </c>
      <c r="AD245" s="12">
        <v>500</v>
      </c>
    </row>
    <row r="246" spans="19:30" x14ac:dyDescent="0.35">
      <c r="S246" s="6">
        <v>46115.46875</v>
      </c>
      <c r="T246" s="12">
        <v>1</v>
      </c>
      <c r="U246" s="12"/>
      <c r="V246" s="12"/>
      <c r="W246" s="12">
        <v>1</v>
      </c>
      <c r="AC246" s="6">
        <v>46154.739583333336</v>
      </c>
      <c r="AD246" s="12">
        <v>500</v>
      </c>
    </row>
    <row r="247" spans="19:30" x14ac:dyDescent="0.35">
      <c r="S247" s="6">
        <v>46115.677083333336</v>
      </c>
      <c r="T247" s="12"/>
      <c r="U247" s="12">
        <v>1</v>
      </c>
      <c r="V247" s="12"/>
      <c r="W247" s="12">
        <v>1</v>
      </c>
      <c r="AC247" s="6">
        <v>46155.333333333336</v>
      </c>
      <c r="AD247" s="12">
        <v>400</v>
      </c>
    </row>
    <row r="248" spans="19:30" x14ac:dyDescent="0.35">
      <c r="S248" s="6">
        <v>46115.708333333336</v>
      </c>
      <c r="T248" s="12"/>
      <c r="U248" s="12">
        <v>1</v>
      </c>
      <c r="V248" s="12"/>
      <c r="W248" s="12">
        <v>1</v>
      </c>
      <c r="AC248" s="6">
        <v>46155.645833333336</v>
      </c>
      <c r="AD248" s="12">
        <v>800</v>
      </c>
    </row>
    <row r="249" spans="19:30" x14ac:dyDescent="0.35">
      <c r="S249" s="6">
        <v>46116.59375</v>
      </c>
      <c r="T249" s="12"/>
      <c r="U249" s="12">
        <v>1</v>
      </c>
      <c r="V249" s="12"/>
      <c r="W249" s="12">
        <v>1</v>
      </c>
      <c r="AC249" s="6">
        <v>46156.71875</v>
      </c>
      <c r="AD249" s="12">
        <v>800</v>
      </c>
    </row>
    <row r="250" spans="19:30" x14ac:dyDescent="0.35">
      <c r="S250" s="6">
        <v>46117.364583333336</v>
      </c>
      <c r="T250" s="12"/>
      <c r="U250" s="12">
        <v>1</v>
      </c>
      <c r="V250" s="12"/>
      <c r="W250" s="12">
        <v>1</v>
      </c>
      <c r="AC250" s="6">
        <v>46156.739583333336</v>
      </c>
      <c r="AD250" s="12">
        <v>900</v>
      </c>
    </row>
    <row r="251" spans="19:30" x14ac:dyDescent="0.35">
      <c r="S251" s="6">
        <v>46117.385416666664</v>
      </c>
      <c r="T251" s="12"/>
      <c r="U251" s="12">
        <v>1</v>
      </c>
      <c r="V251" s="12"/>
      <c r="W251" s="12">
        <v>1</v>
      </c>
      <c r="AC251" s="6">
        <v>46157.427083333336</v>
      </c>
      <c r="AD251" s="12">
        <v>900</v>
      </c>
    </row>
    <row r="252" spans="19:30" x14ac:dyDescent="0.35">
      <c r="S252" s="6">
        <v>46117.583333333336</v>
      </c>
      <c r="T252" s="12"/>
      <c r="U252" s="12">
        <v>1</v>
      </c>
      <c r="V252" s="12"/>
      <c r="W252" s="12">
        <v>1</v>
      </c>
      <c r="AC252" s="6">
        <v>46157.614583333336</v>
      </c>
      <c r="AD252" s="12">
        <v>600</v>
      </c>
    </row>
    <row r="253" spans="19:30" x14ac:dyDescent="0.35">
      <c r="S253" s="6">
        <v>46118.364583333336</v>
      </c>
      <c r="T253" s="12"/>
      <c r="U253" s="12"/>
      <c r="V253" s="12">
        <v>1</v>
      </c>
      <c r="W253" s="12">
        <v>1</v>
      </c>
      <c r="AC253" s="6">
        <v>46158.520833333336</v>
      </c>
      <c r="AD253" s="12">
        <v>900</v>
      </c>
    </row>
    <row r="254" spans="19:30" x14ac:dyDescent="0.35">
      <c r="S254" s="6">
        <v>46118.458333333336</v>
      </c>
      <c r="T254" s="12"/>
      <c r="U254" s="12">
        <v>1</v>
      </c>
      <c r="V254" s="12"/>
      <c r="W254" s="12">
        <v>1</v>
      </c>
      <c r="AC254" s="6">
        <v>46159.46875</v>
      </c>
      <c r="AD254" s="12">
        <v>600</v>
      </c>
    </row>
    <row r="255" spans="19:30" x14ac:dyDescent="0.35">
      <c r="S255" s="6">
        <v>46119.520833333336</v>
      </c>
      <c r="T255" s="12"/>
      <c r="U255" s="12">
        <v>1</v>
      </c>
      <c r="V255" s="12"/>
      <c r="W255" s="12">
        <v>1</v>
      </c>
      <c r="AC255" s="6">
        <v>46159.604166666664</v>
      </c>
      <c r="AD255" s="12">
        <v>700</v>
      </c>
    </row>
    <row r="256" spans="19:30" x14ac:dyDescent="0.35">
      <c r="S256" s="6">
        <v>46120.364583333336</v>
      </c>
      <c r="T256" s="12"/>
      <c r="U256" s="12">
        <v>1</v>
      </c>
      <c r="V256" s="12"/>
      <c r="W256" s="12">
        <v>1</v>
      </c>
      <c r="AC256" s="6">
        <v>46159.708333333336</v>
      </c>
      <c r="AD256" s="12">
        <v>600</v>
      </c>
    </row>
    <row r="257" spans="19:30" x14ac:dyDescent="0.35">
      <c r="S257" s="6">
        <v>46120.40625</v>
      </c>
      <c r="T257" s="12"/>
      <c r="U257" s="12">
        <v>1</v>
      </c>
      <c r="V257" s="12"/>
      <c r="W257" s="12">
        <v>1</v>
      </c>
      <c r="AC257" s="6">
        <v>46160.40625</v>
      </c>
      <c r="AD257" s="12">
        <v>900</v>
      </c>
    </row>
    <row r="258" spans="19:30" x14ac:dyDescent="0.35">
      <c r="S258" s="6">
        <v>46120.53125</v>
      </c>
      <c r="T258" s="12"/>
      <c r="U258" s="12">
        <v>1</v>
      </c>
      <c r="V258" s="12"/>
      <c r="W258" s="12">
        <v>1</v>
      </c>
      <c r="AC258" s="6">
        <v>46160.677083333336</v>
      </c>
      <c r="AD258" s="12">
        <v>500</v>
      </c>
    </row>
    <row r="259" spans="19:30" x14ac:dyDescent="0.35">
      <c r="S259" s="6">
        <v>46120.770833333336</v>
      </c>
      <c r="T259" s="12">
        <v>1</v>
      </c>
      <c r="U259" s="12"/>
      <c r="V259" s="12"/>
      <c r="W259" s="12">
        <v>1</v>
      </c>
      <c r="AC259" s="6">
        <v>46160.6875</v>
      </c>
      <c r="AD259" s="12">
        <v>700</v>
      </c>
    </row>
    <row r="260" spans="19:30" x14ac:dyDescent="0.35">
      <c r="S260" s="6">
        <v>46121.427083333336</v>
      </c>
      <c r="T260" s="12"/>
      <c r="U260" s="12">
        <v>1</v>
      </c>
      <c r="V260" s="12"/>
      <c r="W260" s="12">
        <v>1</v>
      </c>
      <c r="AC260" s="6">
        <v>46161.333333333336</v>
      </c>
      <c r="AD260" s="12">
        <v>600</v>
      </c>
    </row>
    <row r="261" spans="19:30" x14ac:dyDescent="0.35">
      <c r="S261" s="6">
        <v>46121.489583333336</v>
      </c>
      <c r="T261" s="12"/>
      <c r="U261" s="12">
        <v>1</v>
      </c>
      <c r="V261" s="12"/>
      <c r="W261" s="12">
        <v>1</v>
      </c>
      <c r="AC261" s="6">
        <v>46161.364583333336</v>
      </c>
      <c r="AD261" s="12">
        <v>400</v>
      </c>
    </row>
    <row r="262" spans="19:30" x14ac:dyDescent="0.35">
      <c r="S262" s="6">
        <v>46121.697916666664</v>
      </c>
      <c r="T262" s="12"/>
      <c r="U262" s="12">
        <v>1</v>
      </c>
      <c r="V262" s="12"/>
      <c r="W262" s="12">
        <v>1</v>
      </c>
      <c r="AC262" s="6">
        <v>46161.510416666664</v>
      </c>
      <c r="AD262" s="12">
        <v>800</v>
      </c>
    </row>
    <row r="263" spans="19:30" x14ac:dyDescent="0.35">
      <c r="S263" s="6">
        <v>46122.34375</v>
      </c>
      <c r="T263" s="12"/>
      <c r="U263" s="12">
        <v>1</v>
      </c>
      <c r="V263" s="12"/>
      <c r="W263" s="12">
        <v>1</v>
      </c>
      <c r="AC263" s="6">
        <v>46162.510416666664</v>
      </c>
      <c r="AD263" s="12">
        <v>800</v>
      </c>
    </row>
    <row r="264" spans="19:30" x14ac:dyDescent="0.35">
      <c r="S264" s="6">
        <v>46122.510416666664</v>
      </c>
      <c r="T264" s="12"/>
      <c r="U264" s="12">
        <v>1</v>
      </c>
      <c r="V264" s="12"/>
      <c r="W264" s="12">
        <v>1</v>
      </c>
      <c r="AC264" s="6">
        <v>46162.583333333336</v>
      </c>
      <c r="AD264" s="12">
        <v>1000</v>
      </c>
    </row>
    <row r="265" spans="19:30" x14ac:dyDescent="0.35">
      <c r="S265" s="6">
        <v>46122.604166666664</v>
      </c>
      <c r="T265" s="12"/>
      <c r="U265" s="12">
        <v>1</v>
      </c>
      <c r="V265" s="12"/>
      <c r="W265" s="12">
        <v>1</v>
      </c>
      <c r="AC265" s="6">
        <v>46163.5</v>
      </c>
      <c r="AD265" s="12">
        <v>500</v>
      </c>
    </row>
    <row r="266" spans="19:30" x14ac:dyDescent="0.35">
      <c r="S266" s="6">
        <v>46122.645833333336</v>
      </c>
      <c r="T266" s="12"/>
      <c r="U266" s="12"/>
      <c r="V266" s="12">
        <v>1</v>
      </c>
      <c r="W266" s="12">
        <v>1</v>
      </c>
      <c r="AC266" s="6">
        <v>46163.65625</v>
      </c>
      <c r="AD266" s="12">
        <v>1000</v>
      </c>
    </row>
    <row r="267" spans="19:30" x14ac:dyDescent="0.35">
      <c r="S267" s="6">
        <v>46122.697916666664</v>
      </c>
      <c r="T267" s="12"/>
      <c r="U267" s="12">
        <v>1</v>
      </c>
      <c r="V267" s="12"/>
      <c r="W267" s="12">
        <v>1</v>
      </c>
      <c r="AC267" s="6">
        <v>46163.666666666664</v>
      </c>
      <c r="AD267" s="12">
        <v>700</v>
      </c>
    </row>
    <row r="268" spans="19:30" x14ac:dyDescent="0.35">
      <c r="S268" s="6">
        <v>46122.739583333336</v>
      </c>
      <c r="T268" s="12">
        <v>1</v>
      </c>
      <c r="U268" s="12"/>
      <c r="V268" s="12"/>
      <c r="W268" s="12">
        <v>1</v>
      </c>
      <c r="AC268" s="6">
        <v>46164.635416666664</v>
      </c>
      <c r="AD268" s="12">
        <v>800</v>
      </c>
    </row>
    <row r="269" spans="19:30" x14ac:dyDescent="0.35">
      <c r="S269" s="6">
        <v>46122.78125</v>
      </c>
      <c r="T269" s="12"/>
      <c r="U269" s="12">
        <v>1</v>
      </c>
      <c r="V269" s="12"/>
      <c r="W269" s="12">
        <v>1</v>
      </c>
      <c r="AC269" s="6">
        <v>46164.78125</v>
      </c>
      <c r="AD269" s="12">
        <v>1000</v>
      </c>
    </row>
    <row r="270" spans="19:30" x14ac:dyDescent="0.35">
      <c r="S270" s="6">
        <v>46123.489583333336</v>
      </c>
      <c r="T270" s="12"/>
      <c r="U270" s="12">
        <v>1</v>
      </c>
      <c r="V270" s="12"/>
      <c r="W270" s="12">
        <v>1</v>
      </c>
      <c r="AC270" s="6">
        <v>46165.645833333336</v>
      </c>
      <c r="AD270" s="12">
        <v>500</v>
      </c>
    </row>
    <row r="271" spans="19:30" x14ac:dyDescent="0.35">
      <c r="S271" s="6">
        <v>46124.5</v>
      </c>
      <c r="T271" s="12"/>
      <c r="U271" s="12"/>
      <c r="V271" s="12">
        <v>1</v>
      </c>
      <c r="W271" s="12">
        <v>1</v>
      </c>
      <c r="AC271" s="6">
        <v>46166.395833333336</v>
      </c>
      <c r="AD271" s="12">
        <v>700</v>
      </c>
    </row>
    <row r="272" spans="19:30" x14ac:dyDescent="0.35">
      <c r="S272" s="6">
        <v>46125.4375</v>
      </c>
      <c r="T272" s="12">
        <v>1</v>
      </c>
      <c r="U272" s="12"/>
      <c r="V272" s="12"/>
      <c r="W272" s="12">
        <v>1</v>
      </c>
      <c r="AC272" s="6">
        <v>46166.770833333336</v>
      </c>
      <c r="AD272" s="12">
        <v>1000</v>
      </c>
    </row>
    <row r="273" spans="19:30" x14ac:dyDescent="0.35">
      <c r="S273" s="6">
        <v>46125.583333333336</v>
      </c>
      <c r="T273" s="12">
        <v>1</v>
      </c>
      <c r="U273" s="12"/>
      <c r="V273" s="12"/>
      <c r="W273" s="12">
        <v>1</v>
      </c>
      <c r="AC273" s="6">
        <v>46167.510416666664</v>
      </c>
      <c r="AD273" s="12">
        <v>800</v>
      </c>
    </row>
    <row r="274" spans="19:30" x14ac:dyDescent="0.35">
      <c r="S274" s="6">
        <v>46126.625</v>
      </c>
      <c r="T274" s="12">
        <v>1</v>
      </c>
      <c r="U274" s="12"/>
      <c r="V274" s="12"/>
      <c r="W274" s="12">
        <v>1</v>
      </c>
      <c r="AC274" s="6">
        <v>46167.645833333336</v>
      </c>
      <c r="AD274" s="12">
        <v>500</v>
      </c>
    </row>
    <row r="275" spans="19:30" x14ac:dyDescent="0.35">
      <c r="S275" s="6">
        <v>46127.697916666664</v>
      </c>
      <c r="T275" s="12"/>
      <c r="U275" s="12"/>
      <c r="V275" s="12">
        <v>1</v>
      </c>
      <c r="W275" s="12">
        <v>1</v>
      </c>
      <c r="AC275" s="6">
        <v>46167.677083333336</v>
      </c>
      <c r="AD275" s="12">
        <v>800</v>
      </c>
    </row>
    <row r="276" spans="19:30" x14ac:dyDescent="0.35">
      <c r="S276" s="6">
        <v>46128.34375</v>
      </c>
      <c r="T276" s="12">
        <v>1</v>
      </c>
      <c r="U276" s="12">
        <v>1</v>
      </c>
      <c r="V276" s="12"/>
      <c r="W276" s="12">
        <v>2</v>
      </c>
      <c r="AC276" s="6">
        <v>46168.645833333336</v>
      </c>
      <c r="AD276" s="12">
        <v>800</v>
      </c>
    </row>
    <row r="277" spans="19:30" x14ac:dyDescent="0.35">
      <c r="S277" s="6">
        <v>46128.479166666664</v>
      </c>
      <c r="T277" s="12"/>
      <c r="U277" s="12">
        <v>1</v>
      </c>
      <c r="V277" s="12"/>
      <c r="W277" s="12">
        <v>1</v>
      </c>
      <c r="AC277" s="6">
        <v>46169.385416666664</v>
      </c>
      <c r="AD277" s="12">
        <v>900</v>
      </c>
    </row>
    <row r="278" spans="19:30" x14ac:dyDescent="0.35">
      <c r="S278" s="6">
        <v>46128.614583333336</v>
      </c>
      <c r="T278" s="12"/>
      <c r="U278" s="12">
        <v>1</v>
      </c>
      <c r="V278" s="12"/>
      <c r="W278" s="12">
        <v>1</v>
      </c>
      <c r="AC278" s="6">
        <v>46169.65625</v>
      </c>
      <c r="AD278" s="12">
        <v>1000</v>
      </c>
    </row>
    <row r="279" spans="19:30" x14ac:dyDescent="0.35">
      <c r="S279" s="6">
        <v>46128.625</v>
      </c>
      <c r="T279" s="12"/>
      <c r="U279" s="12"/>
      <c r="V279" s="12">
        <v>1</v>
      </c>
      <c r="W279" s="12">
        <v>1</v>
      </c>
      <c r="AC279" s="6">
        <v>46169.78125</v>
      </c>
      <c r="AD279" s="12">
        <v>600</v>
      </c>
    </row>
    <row r="280" spans="19:30" x14ac:dyDescent="0.35">
      <c r="S280" s="6">
        <v>46128.739583333336</v>
      </c>
      <c r="T280" s="12"/>
      <c r="U280" s="12"/>
      <c r="V280" s="12">
        <v>1</v>
      </c>
      <c r="W280" s="12">
        <v>1</v>
      </c>
      <c r="AC280" s="6">
        <v>46170.53125</v>
      </c>
      <c r="AD280" s="12">
        <v>800</v>
      </c>
    </row>
    <row r="281" spans="19:30" x14ac:dyDescent="0.35">
      <c r="S281" s="6">
        <v>46129.583333333336</v>
      </c>
      <c r="T281" s="12"/>
      <c r="U281" s="12">
        <v>1</v>
      </c>
      <c r="V281" s="12"/>
      <c r="W281" s="12">
        <v>1</v>
      </c>
      <c r="AC281" s="6">
        <v>46170.770833333336</v>
      </c>
      <c r="AD281" s="12">
        <v>500</v>
      </c>
    </row>
    <row r="282" spans="19:30" x14ac:dyDescent="0.35">
      <c r="S282" s="6">
        <v>46129.71875</v>
      </c>
      <c r="T282" s="12"/>
      <c r="U282" s="12">
        <v>1</v>
      </c>
      <c r="V282" s="12"/>
      <c r="W282" s="12">
        <v>1</v>
      </c>
      <c r="AC282" s="6">
        <v>46171.59375</v>
      </c>
      <c r="AD282" s="12">
        <v>800</v>
      </c>
    </row>
    <row r="283" spans="19:30" x14ac:dyDescent="0.35">
      <c r="S283" s="6">
        <v>46129.78125</v>
      </c>
      <c r="T283" s="12">
        <v>1</v>
      </c>
      <c r="U283" s="12"/>
      <c r="V283" s="12"/>
      <c r="W283" s="12">
        <v>1</v>
      </c>
      <c r="AC283" s="6">
        <v>46172.333333333336</v>
      </c>
      <c r="AD283" s="12">
        <v>400</v>
      </c>
    </row>
    <row r="284" spans="19:30" x14ac:dyDescent="0.35">
      <c r="S284" s="6">
        <v>46130.53125</v>
      </c>
      <c r="T284" s="12"/>
      <c r="U284" s="12">
        <v>1</v>
      </c>
      <c r="V284" s="12"/>
      <c r="W284" s="12">
        <v>1</v>
      </c>
      <c r="AC284" s="6">
        <v>46172.583333333336</v>
      </c>
      <c r="AD284" s="12">
        <v>800</v>
      </c>
    </row>
    <row r="285" spans="19:30" x14ac:dyDescent="0.35">
      <c r="S285" s="6">
        <v>46130.760416666664</v>
      </c>
      <c r="T285" s="12"/>
      <c r="U285" s="12">
        <v>1</v>
      </c>
      <c r="V285" s="12"/>
      <c r="W285" s="12">
        <v>1</v>
      </c>
      <c r="AC285" s="6">
        <v>46173.375</v>
      </c>
      <c r="AD285" s="12">
        <v>1000</v>
      </c>
    </row>
    <row r="286" spans="19:30" x14ac:dyDescent="0.35">
      <c r="S286" s="6">
        <v>46130.78125</v>
      </c>
      <c r="T286" s="12"/>
      <c r="U286" s="12">
        <v>1</v>
      </c>
      <c r="V286" s="12"/>
      <c r="W286" s="12">
        <v>1</v>
      </c>
      <c r="AC286" s="6">
        <v>46173.46875</v>
      </c>
      <c r="AD286" s="12">
        <v>1000</v>
      </c>
    </row>
    <row r="287" spans="19:30" x14ac:dyDescent="0.35">
      <c r="S287" s="6">
        <v>46131.385416666664</v>
      </c>
      <c r="T287" s="12"/>
      <c r="U287" s="12">
        <v>1</v>
      </c>
      <c r="V287" s="12"/>
      <c r="W287" s="12">
        <v>1</v>
      </c>
      <c r="AC287" s="6">
        <v>46173.5</v>
      </c>
      <c r="AD287" s="12">
        <v>900</v>
      </c>
    </row>
    <row r="288" spans="19:30" x14ac:dyDescent="0.35">
      <c r="S288" s="6">
        <v>46131.4375</v>
      </c>
      <c r="T288" s="12"/>
      <c r="U288" s="12">
        <v>1</v>
      </c>
      <c r="V288" s="12"/>
      <c r="W288" s="12">
        <v>1</v>
      </c>
      <c r="AC288" s="6">
        <v>46174.520833333336</v>
      </c>
      <c r="AD288" s="12">
        <v>700</v>
      </c>
    </row>
    <row r="289" spans="19:30" x14ac:dyDescent="0.35">
      <c r="S289" s="6">
        <v>46131.625</v>
      </c>
      <c r="T289" s="12"/>
      <c r="U289" s="12">
        <v>1</v>
      </c>
      <c r="V289" s="12"/>
      <c r="W289" s="12">
        <v>1</v>
      </c>
      <c r="AC289" s="6">
        <v>46176.333333333336</v>
      </c>
      <c r="AD289" s="12">
        <v>800</v>
      </c>
    </row>
    <row r="290" spans="19:30" x14ac:dyDescent="0.35">
      <c r="S290" s="6">
        <v>46131.729166666664</v>
      </c>
      <c r="T290" s="12"/>
      <c r="U290" s="12">
        <v>1</v>
      </c>
      <c r="V290" s="12"/>
      <c r="W290" s="12">
        <v>1</v>
      </c>
      <c r="AC290" s="6">
        <v>46177.4375</v>
      </c>
      <c r="AD290" s="12">
        <v>900</v>
      </c>
    </row>
    <row r="291" spans="19:30" x14ac:dyDescent="0.35">
      <c r="S291" s="6">
        <v>46132.520833333336</v>
      </c>
      <c r="T291" s="12"/>
      <c r="U291" s="12">
        <v>1</v>
      </c>
      <c r="V291" s="12"/>
      <c r="W291" s="12">
        <v>1</v>
      </c>
      <c r="AC291" s="6">
        <v>46178.416666666664</v>
      </c>
      <c r="AD291" s="12">
        <v>1000</v>
      </c>
    </row>
    <row r="292" spans="19:30" x14ac:dyDescent="0.35">
      <c r="S292" s="6">
        <v>46132.708333333336</v>
      </c>
      <c r="T292" s="12">
        <v>1</v>
      </c>
      <c r="U292" s="12"/>
      <c r="V292" s="12"/>
      <c r="W292" s="12">
        <v>1</v>
      </c>
      <c r="AC292" s="6">
        <v>46178.489583333336</v>
      </c>
      <c r="AD292" s="12">
        <v>500</v>
      </c>
    </row>
    <row r="293" spans="19:30" x14ac:dyDescent="0.35">
      <c r="S293" s="6">
        <v>46133.427083333336</v>
      </c>
      <c r="T293" s="12">
        <v>1</v>
      </c>
      <c r="U293" s="12"/>
      <c r="V293" s="12"/>
      <c r="W293" s="12">
        <v>1</v>
      </c>
      <c r="AC293" s="6">
        <v>46178.708333333336</v>
      </c>
      <c r="AD293" s="12">
        <v>500</v>
      </c>
    </row>
    <row r="294" spans="19:30" x14ac:dyDescent="0.35">
      <c r="S294" s="6">
        <v>46133.489583333336</v>
      </c>
      <c r="T294" s="12"/>
      <c r="U294" s="12">
        <v>1</v>
      </c>
      <c r="V294" s="12"/>
      <c r="W294" s="12">
        <v>1</v>
      </c>
      <c r="AC294" s="6">
        <v>46179.53125</v>
      </c>
      <c r="AD294" s="12">
        <v>700</v>
      </c>
    </row>
    <row r="295" spans="19:30" x14ac:dyDescent="0.35">
      <c r="S295" s="6">
        <v>46134.458333333336</v>
      </c>
      <c r="T295" s="12"/>
      <c r="U295" s="12">
        <v>1</v>
      </c>
      <c r="V295" s="12"/>
      <c r="W295" s="12">
        <v>1</v>
      </c>
      <c r="AC295" s="6">
        <v>46179.625</v>
      </c>
      <c r="AD295" s="12">
        <v>500</v>
      </c>
    </row>
    <row r="296" spans="19:30" x14ac:dyDescent="0.35">
      <c r="S296" s="6">
        <v>46134.666666666664</v>
      </c>
      <c r="T296" s="12"/>
      <c r="U296" s="12">
        <v>1</v>
      </c>
      <c r="V296" s="12"/>
      <c r="W296" s="12">
        <v>1</v>
      </c>
      <c r="AC296" s="6">
        <v>46179.635416666664</v>
      </c>
      <c r="AD296" s="12">
        <v>700</v>
      </c>
    </row>
    <row r="297" spans="19:30" x14ac:dyDescent="0.35">
      <c r="S297" s="6">
        <v>46134.6875</v>
      </c>
      <c r="T297" s="12"/>
      <c r="U297" s="12">
        <v>1</v>
      </c>
      <c r="V297" s="12"/>
      <c r="W297" s="12">
        <v>1</v>
      </c>
      <c r="AC297" s="6">
        <v>46180.46875</v>
      </c>
      <c r="AD297" s="12">
        <v>700</v>
      </c>
    </row>
    <row r="298" spans="19:30" x14ac:dyDescent="0.35">
      <c r="S298" s="6">
        <v>46135.375</v>
      </c>
      <c r="T298" s="12"/>
      <c r="U298" s="12">
        <v>1</v>
      </c>
      <c r="V298" s="12"/>
      <c r="W298" s="12">
        <v>1</v>
      </c>
      <c r="AC298" s="6">
        <v>46180.677083333336</v>
      </c>
      <c r="AD298" s="12">
        <v>800</v>
      </c>
    </row>
    <row r="299" spans="19:30" x14ac:dyDescent="0.35">
      <c r="S299" s="6">
        <v>46135.40625</v>
      </c>
      <c r="T299" s="12"/>
      <c r="U299" s="12"/>
      <c r="V299" s="12">
        <v>1</v>
      </c>
      <c r="W299" s="12">
        <v>1</v>
      </c>
      <c r="AC299" s="6">
        <v>46181.427083333336</v>
      </c>
      <c r="AD299" s="12">
        <v>600</v>
      </c>
    </row>
    <row r="300" spans="19:30" x14ac:dyDescent="0.35">
      <c r="S300" s="6">
        <v>46135.427083333336</v>
      </c>
      <c r="T300" s="12"/>
      <c r="U300" s="12">
        <v>1</v>
      </c>
      <c r="V300" s="12"/>
      <c r="W300" s="12">
        <v>1</v>
      </c>
      <c r="AC300" s="6">
        <v>46182.708333333336</v>
      </c>
      <c r="AD300" s="12">
        <v>600</v>
      </c>
    </row>
    <row r="301" spans="19:30" x14ac:dyDescent="0.35">
      <c r="S301" s="6">
        <v>46135.46875</v>
      </c>
      <c r="T301" s="12"/>
      <c r="U301" s="12">
        <v>1</v>
      </c>
      <c r="V301" s="12"/>
      <c r="W301" s="12">
        <v>1</v>
      </c>
      <c r="AC301" s="6">
        <v>46183.666666666664</v>
      </c>
      <c r="AD301" s="12">
        <v>1000</v>
      </c>
    </row>
    <row r="302" spans="19:30" x14ac:dyDescent="0.35">
      <c r="S302" s="6">
        <v>46135.5</v>
      </c>
      <c r="T302" s="12"/>
      <c r="U302" s="12">
        <v>1</v>
      </c>
      <c r="V302" s="12"/>
      <c r="W302" s="12">
        <v>1</v>
      </c>
      <c r="AC302" s="6">
        <v>46183.739583333336</v>
      </c>
      <c r="AD302" s="12">
        <v>600</v>
      </c>
    </row>
    <row r="303" spans="19:30" x14ac:dyDescent="0.35">
      <c r="S303" s="6">
        <v>46135.645833333336</v>
      </c>
      <c r="T303" s="12"/>
      <c r="U303" s="12">
        <v>1</v>
      </c>
      <c r="V303" s="12"/>
      <c r="W303" s="12">
        <v>1</v>
      </c>
      <c r="AC303" s="6">
        <v>46184.427083333336</v>
      </c>
      <c r="AD303" s="12">
        <v>800</v>
      </c>
    </row>
    <row r="304" spans="19:30" x14ac:dyDescent="0.35">
      <c r="S304" s="6">
        <v>46135.65625</v>
      </c>
      <c r="T304" s="12"/>
      <c r="U304" s="12">
        <v>1</v>
      </c>
      <c r="V304" s="12"/>
      <c r="W304" s="12">
        <v>1</v>
      </c>
      <c r="AC304" s="6">
        <v>46184.708333333336</v>
      </c>
      <c r="AD304" s="12">
        <v>800</v>
      </c>
    </row>
    <row r="305" spans="19:30" x14ac:dyDescent="0.35">
      <c r="S305" s="6">
        <v>46136.385416666664</v>
      </c>
      <c r="T305" s="12">
        <v>1</v>
      </c>
      <c r="U305" s="12"/>
      <c r="V305" s="12"/>
      <c r="W305" s="12">
        <v>1</v>
      </c>
      <c r="AC305" s="6">
        <v>46185.59375</v>
      </c>
      <c r="AD305" s="12">
        <v>600</v>
      </c>
    </row>
    <row r="306" spans="19:30" x14ac:dyDescent="0.35">
      <c r="S306" s="6">
        <v>46136.4375</v>
      </c>
      <c r="T306" s="12"/>
      <c r="U306" s="12">
        <v>1</v>
      </c>
      <c r="V306" s="12"/>
      <c r="W306" s="12">
        <v>1</v>
      </c>
      <c r="AC306" s="6">
        <v>46185.645833333336</v>
      </c>
      <c r="AD306" s="12">
        <v>700</v>
      </c>
    </row>
    <row r="307" spans="19:30" x14ac:dyDescent="0.35">
      <c r="S307" s="6">
        <v>46137.354166666664</v>
      </c>
      <c r="T307" s="12">
        <v>1</v>
      </c>
      <c r="U307" s="12"/>
      <c r="V307" s="12"/>
      <c r="W307" s="12">
        <v>1</v>
      </c>
      <c r="AC307" s="6">
        <v>46186.645833333336</v>
      </c>
      <c r="AD307" s="12">
        <v>600</v>
      </c>
    </row>
    <row r="308" spans="19:30" x14ac:dyDescent="0.35">
      <c r="S308" s="6">
        <v>46137.583333333336</v>
      </c>
      <c r="T308" s="12"/>
      <c r="U308" s="12">
        <v>1</v>
      </c>
      <c r="V308" s="12"/>
      <c r="W308" s="12">
        <v>1</v>
      </c>
      <c r="AC308" s="6">
        <v>46187.53125</v>
      </c>
      <c r="AD308" s="12">
        <v>800</v>
      </c>
    </row>
    <row r="309" spans="19:30" x14ac:dyDescent="0.35">
      <c r="S309" s="6">
        <v>46137.614583333336</v>
      </c>
      <c r="T309" s="12"/>
      <c r="U309" s="12">
        <v>1</v>
      </c>
      <c r="V309" s="12"/>
      <c r="W309" s="12">
        <v>1</v>
      </c>
      <c r="AC309" s="6">
        <v>46187.645833333336</v>
      </c>
      <c r="AD309" s="12">
        <v>900</v>
      </c>
    </row>
    <row r="310" spans="19:30" x14ac:dyDescent="0.35">
      <c r="S310" s="6">
        <v>46138.510416666664</v>
      </c>
      <c r="T310" s="12"/>
      <c r="U310" s="12"/>
      <c r="V310" s="12">
        <v>1</v>
      </c>
      <c r="W310" s="12">
        <v>1</v>
      </c>
      <c r="AC310" s="6">
        <v>46187.677083333336</v>
      </c>
      <c r="AD310" s="12">
        <v>700</v>
      </c>
    </row>
    <row r="311" spans="19:30" x14ac:dyDescent="0.35">
      <c r="S311" s="6">
        <v>46138.583333333336</v>
      </c>
      <c r="T311" s="12"/>
      <c r="U311" s="12">
        <v>1</v>
      </c>
      <c r="V311" s="12"/>
      <c r="W311" s="12">
        <v>1</v>
      </c>
      <c r="AC311" s="6">
        <v>46187.75</v>
      </c>
      <c r="AD311" s="12">
        <v>1000</v>
      </c>
    </row>
    <row r="312" spans="19:30" x14ac:dyDescent="0.35">
      <c r="S312" s="6">
        <v>46138.65625</v>
      </c>
      <c r="T312" s="12"/>
      <c r="U312" s="12">
        <v>1</v>
      </c>
      <c r="V312" s="12"/>
      <c r="W312" s="12">
        <v>1</v>
      </c>
      <c r="AC312" s="6">
        <v>46188.416666666664</v>
      </c>
      <c r="AD312" s="12">
        <v>700</v>
      </c>
    </row>
    <row r="313" spans="19:30" x14ac:dyDescent="0.35">
      <c r="S313" s="6">
        <v>46138.677083333336</v>
      </c>
      <c r="T313" s="12"/>
      <c r="U313" s="12">
        <v>2</v>
      </c>
      <c r="V313" s="12"/>
      <c r="W313" s="12">
        <v>2</v>
      </c>
      <c r="AC313" s="6">
        <v>46188.4375</v>
      </c>
      <c r="AD313" s="12">
        <v>1000</v>
      </c>
    </row>
    <row r="314" spans="19:30" x14ac:dyDescent="0.35">
      <c r="S314" s="6">
        <v>46138.75</v>
      </c>
      <c r="T314" s="12"/>
      <c r="U314" s="12">
        <v>1</v>
      </c>
      <c r="V314" s="12"/>
      <c r="W314" s="12">
        <v>1</v>
      </c>
      <c r="AC314" s="6">
        <v>46188.677083333336</v>
      </c>
      <c r="AD314" s="12">
        <v>1000</v>
      </c>
    </row>
    <row r="315" spans="19:30" x14ac:dyDescent="0.35">
      <c r="S315" s="6">
        <v>46138.78125</v>
      </c>
      <c r="T315" s="12"/>
      <c r="U315" s="12">
        <v>1</v>
      </c>
      <c r="V315" s="12"/>
      <c r="W315" s="12">
        <v>1</v>
      </c>
      <c r="AC315" s="6">
        <v>46188.739583333336</v>
      </c>
      <c r="AD315" s="12">
        <v>900</v>
      </c>
    </row>
    <row r="316" spans="19:30" x14ac:dyDescent="0.35">
      <c r="S316" s="6">
        <v>46139.395833333336</v>
      </c>
      <c r="T316" s="12"/>
      <c r="U316" s="12">
        <v>1</v>
      </c>
      <c r="V316" s="12"/>
      <c r="W316" s="12">
        <v>1</v>
      </c>
      <c r="AC316" s="6">
        <v>46189.375</v>
      </c>
      <c r="AD316" s="12">
        <v>600</v>
      </c>
    </row>
    <row r="317" spans="19:30" x14ac:dyDescent="0.35">
      <c r="S317" s="6">
        <v>46139.489583333336</v>
      </c>
      <c r="T317" s="12"/>
      <c r="U317" s="12">
        <v>1</v>
      </c>
      <c r="V317" s="12"/>
      <c r="W317" s="12">
        <v>1</v>
      </c>
      <c r="AC317" s="6">
        <v>46190.583333333336</v>
      </c>
      <c r="AD317" s="12">
        <v>900</v>
      </c>
    </row>
    <row r="318" spans="19:30" x14ac:dyDescent="0.35">
      <c r="S318" s="6">
        <v>46139.739583333336</v>
      </c>
      <c r="T318" s="12"/>
      <c r="U318" s="12">
        <v>1</v>
      </c>
      <c r="V318" s="12"/>
      <c r="W318" s="12">
        <v>1</v>
      </c>
      <c r="AC318" s="6">
        <v>46191.645833333336</v>
      </c>
      <c r="AD318" s="12">
        <v>1700</v>
      </c>
    </row>
    <row r="319" spans="19:30" x14ac:dyDescent="0.35">
      <c r="S319" s="6">
        <v>46139.75</v>
      </c>
      <c r="T319" s="12"/>
      <c r="U319" s="12">
        <v>1</v>
      </c>
      <c r="V319" s="12"/>
      <c r="W319" s="12">
        <v>1</v>
      </c>
      <c r="AC319" s="6">
        <v>46192.447916666664</v>
      </c>
      <c r="AD319" s="12">
        <v>700</v>
      </c>
    </row>
    <row r="320" spans="19:30" x14ac:dyDescent="0.35">
      <c r="S320" s="6">
        <v>46140.385416666664</v>
      </c>
      <c r="T320" s="12"/>
      <c r="U320" s="12">
        <v>1</v>
      </c>
      <c r="V320" s="12"/>
      <c r="W320" s="12">
        <v>1</v>
      </c>
      <c r="AC320" s="6">
        <v>46192.479166666664</v>
      </c>
      <c r="AD320" s="12">
        <v>1000</v>
      </c>
    </row>
    <row r="321" spans="19:30" x14ac:dyDescent="0.35">
      <c r="S321" s="6">
        <v>46140.604166666664</v>
      </c>
      <c r="T321" s="12"/>
      <c r="U321" s="12">
        <v>1</v>
      </c>
      <c r="V321" s="12"/>
      <c r="W321" s="12">
        <v>1</v>
      </c>
      <c r="AC321" s="6">
        <v>46192.697916666664</v>
      </c>
      <c r="AD321" s="12">
        <v>500</v>
      </c>
    </row>
    <row r="322" spans="19:30" x14ac:dyDescent="0.35">
      <c r="S322" s="6">
        <v>46141.416666666664</v>
      </c>
      <c r="T322" s="12"/>
      <c r="U322" s="12">
        <v>1</v>
      </c>
      <c r="V322" s="12"/>
      <c r="W322" s="12">
        <v>1</v>
      </c>
      <c r="AC322" s="6">
        <v>46193.416666666664</v>
      </c>
      <c r="AD322" s="12">
        <v>1000</v>
      </c>
    </row>
    <row r="323" spans="19:30" x14ac:dyDescent="0.35">
      <c r="S323" s="6">
        <v>46141.75</v>
      </c>
      <c r="T323" s="12"/>
      <c r="U323" s="12">
        <v>1</v>
      </c>
      <c r="V323" s="12"/>
      <c r="W323" s="12">
        <v>1</v>
      </c>
      <c r="AC323" s="6">
        <v>46193.520833333336</v>
      </c>
      <c r="AD323" s="12">
        <v>800</v>
      </c>
    </row>
    <row r="324" spans="19:30" x14ac:dyDescent="0.35">
      <c r="S324" s="6">
        <v>46141.78125</v>
      </c>
      <c r="T324" s="12"/>
      <c r="U324" s="12"/>
      <c r="V324" s="12">
        <v>1</v>
      </c>
      <c r="W324" s="12">
        <v>1</v>
      </c>
      <c r="AC324" s="6">
        <v>46193.625</v>
      </c>
      <c r="AD324" s="12">
        <v>600</v>
      </c>
    </row>
    <row r="325" spans="19:30" x14ac:dyDescent="0.35">
      <c r="S325" s="6">
        <v>46143.729166666664</v>
      </c>
      <c r="T325" s="12">
        <v>1</v>
      </c>
      <c r="U325" s="12"/>
      <c r="V325" s="12"/>
      <c r="W325" s="12">
        <v>1</v>
      </c>
      <c r="AC325" s="6">
        <v>46193.729166666664</v>
      </c>
      <c r="AD325" s="12">
        <v>700</v>
      </c>
    </row>
    <row r="326" spans="19:30" x14ac:dyDescent="0.35">
      <c r="S326" s="6">
        <v>46144.385416666664</v>
      </c>
      <c r="T326" s="12"/>
      <c r="U326" s="12">
        <v>1</v>
      </c>
      <c r="V326" s="12"/>
      <c r="W326" s="12">
        <v>1</v>
      </c>
      <c r="AC326" s="6">
        <v>46194.604166666664</v>
      </c>
      <c r="AD326" s="12">
        <v>700</v>
      </c>
    </row>
    <row r="327" spans="19:30" x14ac:dyDescent="0.35">
      <c r="S327" s="6">
        <v>46145.375</v>
      </c>
      <c r="T327" s="12"/>
      <c r="U327" s="12">
        <v>1</v>
      </c>
      <c r="V327" s="12"/>
      <c r="W327" s="12">
        <v>1</v>
      </c>
      <c r="AC327" s="6">
        <v>46195.4375</v>
      </c>
      <c r="AD327" s="12">
        <v>600</v>
      </c>
    </row>
    <row r="328" spans="19:30" x14ac:dyDescent="0.35">
      <c r="S328" s="6">
        <v>46145.46875</v>
      </c>
      <c r="T328" s="12"/>
      <c r="U328" s="12"/>
      <c r="V328" s="12">
        <v>1</v>
      </c>
      <c r="W328" s="12">
        <v>1</v>
      </c>
      <c r="AC328" s="6">
        <v>46195.489583333336</v>
      </c>
      <c r="AD328" s="12">
        <v>400</v>
      </c>
    </row>
    <row r="329" spans="19:30" x14ac:dyDescent="0.35">
      <c r="S329" s="6">
        <v>46145.479166666664</v>
      </c>
      <c r="T329" s="12"/>
      <c r="U329" s="12">
        <v>1</v>
      </c>
      <c r="V329" s="12"/>
      <c r="W329" s="12">
        <v>1</v>
      </c>
      <c r="AC329" s="6">
        <v>46196.78125</v>
      </c>
      <c r="AD329" s="12">
        <v>800</v>
      </c>
    </row>
    <row r="330" spans="19:30" x14ac:dyDescent="0.35">
      <c r="S330" s="6">
        <v>46145.59375</v>
      </c>
      <c r="T330" s="12"/>
      <c r="U330" s="12">
        <v>1</v>
      </c>
      <c r="V330" s="12"/>
      <c r="W330" s="12">
        <v>1</v>
      </c>
      <c r="AC330" s="6">
        <v>46197.625</v>
      </c>
      <c r="AD330" s="12">
        <v>900</v>
      </c>
    </row>
    <row r="331" spans="19:30" x14ac:dyDescent="0.35">
      <c r="S331" s="6">
        <v>46145.625</v>
      </c>
      <c r="T331" s="12"/>
      <c r="U331" s="12">
        <v>1</v>
      </c>
      <c r="V331" s="12"/>
      <c r="W331" s="12">
        <v>1</v>
      </c>
      <c r="AC331" s="6">
        <v>46198.447916666664</v>
      </c>
      <c r="AD331" s="12">
        <v>500</v>
      </c>
    </row>
    <row r="332" spans="19:30" x14ac:dyDescent="0.35">
      <c r="S332" s="6">
        <v>46146.427083333336</v>
      </c>
      <c r="T332" s="12"/>
      <c r="U332" s="12">
        <v>1</v>
      </c>
      <c r="V332" s="12"/>
      <c r="W332" s="12">
        <v>1</v>
      </c>
      <c r="AC332" s="6">
        <v>46199.395833333336</v>
      </c>
      <c r="AD332" s="12">
        <v>900</v>
      </c>
    </row>
    <row r="333" spans="19:30" x14ac:dyDescent="0.35">
      <c r="S333" s="6">
        <v>46148.59375</v>
      </c>
      <c r="T333" s="12"/>
      <c r="U333" s="12">
        <v>1</v>
      </c>
      <c r="V333" s="12"/>
      <c r="W333" s="12">
        <v>1</v>
      </c>
      <c r="AC333" s="6">
        <v>46199.416666666664</v>
      </c>
      <c r="AD333" s="12">
        <v>900</v>
      </c>
    </row>
    <row r="334" spans="19:30" x14ac:dyDescent="0.35">
      <c r="S334" s="6">
        <v>46148.71875</v>
      </c>
      <c r="T334" s="12"/>
      <c r="U334" s="12"/>
      <c r="V334" s="12">
        <v>1</v>
      </c>
      <c r="W334" s="12">
        <v>1</v>
      </c>
      <c r="AC334" s="6">
        <v>46199.4375</v>
      </c>
      <c r="AD334" s="12">
        <v>700</v>
      </c>
    </row>
    <row r="335" spans="19:30" x14ac:dyDescent="0.35">
      <c r="S335" s="6">
        <v>46148.78125</v>
      </c>
      <c r="T335" s="12"/>
      <c r="U335" s="12">
        <v>1</v>
      </c>
      <c r="V335" s="12"/>
      <c r="W335" s="12">
        <v>1</v>
      </c>
      <c r="AC335" s="6">
        <v>46199.614583333336</v>
      </c>
      <c r="AD335" s="12">
        <v>700</v>
      </c>
    </row>
    <row r="336" spans="19:30" x14ac:dyDescent="0.35">
      <c r="S336" s="6">
        <v>46149.416666666664</v>
      </c>
      <c r="T336" s="12"/>
      <c r="U336" s="12">
        <v>1</v>
      </c>
      <c r="V336" s="12"/>
      <c r="W336" s="12">
        <v>1</v>
      </c>
      <c r="AC336" s="6">
        <v>46200.614583333336</v>
      </c>
      <c r="AD336" s="12">
        <v>500</v>
      </c>
    </row>
    <row r="337" spans="19:30" x14ac:dyDescent="0.35">
      <c r="S337" s="6">
        <v>46150.46875</v>
      </c>
      <c r="T337" s="12"/>
      <c r="U337" s="12"/>
      <c r="V337" s="12">
        <v>1</v>
      </c>
      <c r="W337" s="12">
        <v>1</v>
      </c>
      <c r="AC337" s="6">
        <v>46201.489583333336</v>
      </c>
      <c r="AD337" s="12">
        <v>700</v>
      </c>
    </row>
    <row r="338" spans="19:30" x14ac:dyDescent="0.35">
      <c r="S338" s="6">
        <v>46150.53125</v>
      </c>
      <c r="T338" s="12"/>
      <c r="U338" s="12">
        <v>1</v>
      </c>
      <c r="V338" s="12"/>
      <c r="W338" s="12">
        <v>1</v>
      </c>
      <c r="AC338" s="6">
        <v>46201.583333333336</v>
      </c>
      <c r="AD338" s="12">
        <v>1000</v>
      </c>
    </row>
    <row r="339" spans="19:30" x14ac:dyDescent="0.35">
      <c r="S339" s="6">
        <v>46150.645833333336</v>
      </c>
      <c r="T339" s="12">
        <v>1</v>
      </c>
      <c r="U339" s="12"/>
      <c r="V339" s="12"/>
      <c r="W339" s="12">
        <v>1</v>
      </c>
      <c r="AC339" s="6">
        <v>46201.65625</v>
      </c>
      <c r="AD339" s="12">
        <v>700</v>
      </c>
    </row>
    <row r="340" spans="19:30" x14ac:dyDescent="0.35">
      <c r="S340" s="6">
        <v>46150.729166666664</v>
      </c>
      <c r="T340" s="12"/>
      <c r="U340" s="12">
        <v>1</v>
      </c>
      <c r="V340" s="12"/>
      <c r="W340" s="12">
        <v>1</v>
      </c>
      <c r="AC340" s="6">
        <v>46201.760416666664</v>
      </c>
      <c r="AD340" s="12">
        <v>700</v>
      </c>
    </row>
    <row r="341" spans="19:30" x14ac:dyDescent="0.35">
      <c r="S341" s="6">
        <v>46151.416666666664</v>
      </c>
      <c r="T341" s="12"/>
      <c r="U341" s="12">
        <v>1</v>
      </c>
      <c r="V341" s="12"/>
      <c r="W341" s="12">
        <v>1</v>
      </c>
      <c r="AC341" s="6">
        <v>46202.375</v>
      </c>
      <c r="AD341" s="12">
        <v>800</v>
      </c>
    </row>
    <row r="342" spans="19:30" x14ac:dyDescent="0.35">
      <c r="S342" s="6">
        <v>46151.427083333336</v>
      </c>
      <c r="T342" s="12"/>
      <c r="U342" s="12">
        <v>1</v>
      </c>
      <c r="V342" s="12"/>
      <c r="W342" s="12">
        <v>1</v>
      </c>
      <c r="AC342" s="6">
        <v>46202.427083333336</v>
      </c>
      <c r="AD342" s="12">
        <v>600</v>
      </c>
    </row>
    <row r="343" spans="19:30" x14ac:dyDescent="0.35">
      <c r="S343" s="6">
        <v>46151.71875</v>
      </c>
      <c r="T343" s="12"/>
      <c r="U343" s="12">
        <v>1</v>
      </c>
      <c r="V343" s="12"/>
      <c r="W343" s="12">
        <v>1</v>
      </c>
      <c r="AC343" s="6" t="s">
        <v>762</v>
      </c>
      <c r="AD343" s="12">
        <v>241700</v>
      </c>
    </row>
    <row r="344" spans="19:30" x14ac:dyDescent="0.35">
      <c r="S344" s="6">
        <v>46151.729166666664</v>
      </c>
      <c r="T344" s="12"/>
      <c r="U344" s="12">
        <v>1</v>
      </c>
      <c r="V344" s="12"/>
      <c r="W344" s="12">
        <v>1</v>
      </c>
    </row>
    <row r="345" spans="19:30" x14ac:dyDescent="0.35">
      <c r="S345" s="6">
        <v>46152.53125</v>
      </c>
      <c r="T345" s="12"/>
      <c r="U345" s="12">
        <v>1</v>
      </c>
      <c r="V345" s="12"/>
      <c r="W345" s="12">
        <v>1</v>
      </c>
    </row>
    <row r="346" spans="19:30" x14ac:dyDescent="0.35">
      <c r="S346" s="6">
        <v>46152.6875</v>
      </c>
      <c r="T346" s="12"/>
      <c r="U346" s="12">
        <v>1</v>
      </c>
      <c r="V346" s="12"/>
      <c r="W346" s="12">
        <v>1</v>
      </c>
    </row>
    <row r="347" spans="19:30" x14ac:dyDescent="0.35">
      <c r="S347" s="6">
        <v>46153.375</v>
      </c>
      <c r="T347" s="12"/>
      <c r="U347" s="12">
        <v>1</v>
      </c>
      <c r="V347" s="12"/>
      <c r="W347" s="12">
        <v>1</v>
      </c>
    </row>
    <row r="348" spans="19:30" x14ac:dyDescent="0.35">
      <c r="S348" s="6">
        <v>46153.427083333336</v>
      </c>
      <c r="T348" s="12"/>
      <c r="U348" s="12"/>
      <c r="V348" s="12">
        <v>1</v>
      </c>
      <c r="W348" s="12">
        <v>1</v>
      </c>
    </row>
    <row r="349" spans="19:30" x14ac:dyDescent="0.35">
      <c r="S349" s="6">
        <v>46153.53125</v>
      </c>
      <c r="T349" s="12"/>
      <c r="U349" s="12">
        <v>1</v>
      </c>
      <c r="V349" s="12"/>
      <c r="W349" s="12">
        <v>1</v>
      </c>
    </row>
    <row r="350" spans="19:30" x14ac:dyDescent="0.35">
      <c r="S350" s="6">
        <v>46153.65625</v>
      </c>
      <c r="T350" s="12">
        <v>1</v>
      </c>
      <c r="U350" s="12"/>
      <c r="V350" s="12"/>
      <c r="W350" s="12">
        <v>1</v>
      </c>
    </row>
    <row r="351" spans="19:30" x14ac:dyDescent="0.35">
      <c r="S351" s="6">
        <v>46154.354166666664</v>
      </c>
      <c r="T351" s="12"/>
      <c r="U351" s="12">
        <v>1</v>
      </c>
      <c r="V351" s="12"/>
      <c r="W351" s="12">
        <v>1</v>
      </c>
    </row>
    <row r="352" spans="19:30" x14ac:dyDescent="0.35">
      <c r="S352" s="6">
        <v>46154.416666666664</v>
      </c>
      <c r="T352" s="12"/>
      <c r="U352" s="12">
        <v>1</v>
      </c>
      <c r="V352" s="12"/>
      <c r="W352" s="12">
        <v>1</v>
      </c>
    </row>
    <row r="353" spans="19:23" x14ac:dyDescent="0.35">
      <c r="S353" s="6">
        <v>46154.447916666664</v>
      </c>
      <c r="T353" s="12"/>
      <c r="U353" s="12">
        <v>1</v>
      </c>
      <c r="V353" s="12"/>
      <c r="W353" s="12">
        <v>1</v>
      </c>
    </row>
    <row r="354" spans="19:23" x14ac:dyDescent="0.35">
      <c r="S354" s="6">
        <v>46154.739583333336</v>
      </c>
      <c r="T354" s="12"/>
      <c r="U354" s="12">
        <v>1</v>
      </c>
      <c r="V354" s="12"/>
      <c r="W354" s="12">
        <v>1</v>
      </c>
    </row>
    <row r="355" spans="19:23" x14ac:dyDescent="0.35">
      <c r="S355" s="6">
        <v>46155.333333333336</v>
      </c>
      <c r="T355" s="12"/>
      <c r="U355" s="12">
        <v>1</v>
      </c>
      <c r="V355" s="12"/>
      <c r="W355" s="12">
        <v>1</v>
      </c>
    </row>
    <row r="356" spans="19:23" x14ac:dyDescent="0.35">
      <c r="S356" s="6">
        <v>46155.583333333336</v>
      </c>
      <c r="T356" s="12">
        <v>1</v>
      </c>
      <c r="U356" s="12"/>
      <c r="V356" s="12"/>
      <c r="W356" s="12">
        <v>1</v>
      </c>
    </row>
    <row r="357" spans="19:23" x14ac:dyDescent="0.35">
      <c r="S357" s="6">
        <v>46155.645833333336</v>
      </c>
      <c r="T357" s="12"/>
      <c r="U357" s="12">
        <v>1</v>
      </c>
      <c r="V357" s="12"/>
      <c r="W357" s="12">
        <v>1</v>
      </c>
    </row>
    <row r="358" spans="19:23" x14ac:dyDescent="0.35">
      <c r="S358" s="6">
        <v>46155.677083333336</v>
      </c>
      <c r="T358" s="12">
        <v>1</v>
      </c>
      <c r="U358" s="12"/>
      <c r="V358" s="12"/>
      <c r="W358" s="12">
        <v>1</v>
      </c>
    </row>
    <row r="359" spans="19:23" x14ac:dyDescent="0.35">
      <c r="S359" s="6">
        <v>46155.708333333336</v>
      </c>
      <c r="T359" s="12"/>
      <c r="U359" s="12"/>
      <c r="V359" s="12">
        <v>1</v>
      </c>
      <c r="W359" s="12">
        <v>1</v>
      </c>
    </row>
    <row r="360" spans="19:23" x14ac:dyDescent="0.35">
      <c r="S360" s="6">
        <v>46155.760416666664</v>
      </c>
      <c r="T360" s="12"/>
      <c r="U360" s="12"/>
      <c r="V360" s="12">
        <v>1</v>
      </c>
      <c r="W360" s="12">
        <v>1</v>
      </c>
    </row>
    <row r="361" spans="19:23" x14ac:dyDescent="0.35">
      <c r="S361" s="6">
        <v>46156.666666666664</v>
      </c>
      <c r="T361" s="12"/>
      <c r="U361" s="12"/>
      <c r="V361" s="12">
        <v>1</v>
      </c>
      <c r="W361" s="12">
        <v>1</v>
      </c>
    </row>
    <row r="362" spans="19:23" x14ac:dyDescent="0.35">
      <c r="S362" s="6">
        <v>46156.71875</v>
      </c>
      <c r="T362" s="12"/>
      <c r="U362" s="12">
        <v>1</v>
      </c>
      <c r="V362" s="12"/>
      <c r="W362" s="12">
        <v>1</v>
      </c>
    </row>
    <row r="363" spans="19:23" x14ac:dyDescent="0.35">
      <c r="S363" s="6">
        <v>46156.739583333336</v>
      </c>
      <c r="T363" s="12"/>
      <c r="U363" s="12">
        <v>1</v>
      </c>
      <c r="V363" s="12"/>
      <c r="W363" s="12">
        <v>1</v>
      </c>
    </row>
    <row r="364" spans="19:23" x14ac:dyDescent="0.35">
      <c r="S364" s="6">
        <v>46157.427083333336</v>
      </c>
      <c r="T364" s="12"/>
      <c r="U364" s="12">
        <v>1</v>
      </c>
      <c r="V364" s="12"/>
      <c r="W364" s="12">
        <v>1</v>
      </c>
    </row>
    <row r="365" spans="19:23" x14ac:dyDescent="0.35">
      <c r="S365" s="6">
        <v>46157.583333333336</v>
      </c>
      <c r="T365" s="12">
        <v>1</v>
      </c>
      <c r="U365" s="12"/>
      <c r="V365" s="12"/>
      <c r="W365" s="12">
        <v>1</v>
      </c>
    </row>
    <row r="366" spans="19:23" x14ac:dyDescent="0.35">
      <c r="S366" s="6">
        <v>46157.614583333336</v>
      </c>
      <c r="T366" s="12"/>
      <c r="U366" s="12">
        <v>1</v>
      </c>
      <c r="V366" s="12"/>
      <c r="W366" s="12">
        <v>1</v>
      </c>
    </row>
    <row r="367" spans="19:23" x14ac:dyDescent="0.35">
      <c r="S367" s="6">
        <v>46157.666666666664</v>
      </c>
      <c r="T367" s="12"/>
      <c r="U367" s="12"/>
      <c r="V367" s="12">
        <v>1</v>
      </c>
      <c r="W367" s="12">
        <v>1</v>
      </c>
    </row>
    <row r="368" spans="19:23" x14ac:dyDescent="0.35">
      <c r="S368" s="6">
        <v>46158.520833333336</v>
      </c>
      <c r="T368" s="12"/>
      <c r="U368" s="12">
        <v>1</v>
      </c>
      <c r="V368" s="12"/>
      <c r="W368" s="12">
        <v>1</v>
      </c>
    </row>
    <row r="369" spans="19:23" x14ac:dyDescent="0.35">
      <c r="S369" s="6">
        <v>46158.75</v>
      </c>
      <c r="T369" s="12">
        <v>1</v>
      </c>
      <c r="U369" s="12"/>
      <c r="V369" s="12"/>
      <c r="W369" s="12">
        <v>1</v>
      </c>
    </row>
    <row r="370" spans="19:23" x14ac:dyDescent="0.35">
      <c r="S370" s="6">
        <v>46159.46875</v>
      </c>
      <c r="T370" s="12"/>
      <c r="U370" s="12">
        <v>1</v>
      </c>
      <c r="V370" s="12"/>
      <c r="W370" s="12">
        <v>1</v>
      </c>
    </row>
    <row r="371" spans="19:23" x14ac:dyDescent="0.35">
      <c r="S371" s="6">
        <v>46159.604166666664</v>
      </c>
      <c r="T371" s="12"/>
      <c r="U371" s="12">
        <v>1</v>
      </c>
      <c r="V371" s="12"/>
      <c r="W371" s="12">
        <v>1</v>
      </c>
    </row>
    <row r="372" spans="19:23" x14ac:dyDescent="0.35">
      <c r="S372" s="6">
        <v>46159.708333333336</v>
      </c>
      <c r="T372" s="12"/>
      <c r="U372" s="12">
        <v>1</v>
      </c>
      <c r="V372" s="12"/>
      <c r="W372" s="12">
        <v>1</v>
      </c>
    </row>
    <row r="373" spans="19:23" x14ac:dyDescent="0.35">
      <c r="S373" s="6">
        <v>46160.40625</v>
      </c>
      <c r="T373" s="12"/>
      <c r="U373" s="12">
        <v>1</v>
      </c>
      <c r="V373" s="12"/>
      <c r="W373" s="12">
        <v>1</v>
      </c>
    </row>
    <row r="374" spans="19:23" x14ac:dyDescent="0.35">
      <c r="S374" s="6">
        <v>46160.46875</v>
      </c>
      <c r="T374" s="12"/>
      <c r="U374" s="12"/>
      <c r="V374" s="12">
        <v>1</v>
      </c>
      <c r="W374" s="12">
        <v>1</v>
      </c>
    </row>
    <row r="375" spans="19:23" x14ac:dyDescent="0.35">
      <c r="S375" s="6">
        <v>46160.625</v>
      </c>
      <c r="T375" s="12"/>
      <c r="U375" s="12"/>
      <c r="V375" s="12">
        <v>1</v>
      </c>
      <c r="W375" s="12">
        <v>1</v>
      </c>
    </row>
    <row r="376" spans="19:23" x14ac:dyDescent="0.35">
      <c r="S376" s="6">
        <v>46160.677083333336</v>
      </c>
      <c r="T376" s="12"/>
      <c r="U376" s="12">
        <v>1</v>
      </c>
      <c r="V376" s="12"/>
      <c r="W376" s="12">
        <v>1</v>
      </c>
    </row>
    <row r="377" spans="19:23" x14ac:dyDescent="0.35">
      <c r="S377" s="6">
        <v>46160.6875</v>
      </c>
      <c r="T377" s="12"/>
      <c r="U377" s="12">
        <v>1</v>
      </c>
      <c r="V377" s="12"/>
      <c r="W377" s="12">
        <v>1</v>
      </c>
    </row>
    <row r="378" spans="19:23" x14ac:dyDescent="0.35">
      <c r="S378" s="6">
        <v>46161.333333333336</v>
      </c>
      <c r="T378" s="12"/>
      <c r="U378" s="12">
        <v>1</v>
      </c>
      <c r="V378" s="12"/>
      <c r="W378" s="12">
        <v>1</v>
      </c>
    </row>
    <row r="379" spans="19:23" x14ac:dyDescent="0.35">
      <c r="S379" s="6">
        <v>46161.364583333336</v>
      </c>
      <c r="T379" s="12"/>
      <c r="U379" s="12">
        <v>1</v>
      </c>
      <c r="V379" s="12"/>
      <c r="W379" s="12">
        <v>1</v>
      </c>
    </row>
    <row r="380" spans="19:23" x14ac:dyDescent="0.35">
      <c r="S380" s="6">
        <v>46161.510416666664</v>
      </c>
      <c r="T380" s="12"/>
      <c r="U380" s="12">
        <v>1</v>
      </c>
      <c r="V380" s="12"/>
      <c r="W380" s="12">
        <v>1</v>
      </c>
    </row>
    <row r="381" spans="19:23" x14ac:dyDescent="0.35">
      <c r="S381" s="6">
        <v>46162.510416666664</v>
      </c>
      <c r="T381" s="12"/>
      <c r="U381" s="12">
        <v>1</v>
      </c>
      <c r="V381" s="12"/>
      <c r="W381" s="12">
        <v>1</v>
      </c>
    </row>
    <row r="382" spans="19:23" x14ac:dyDescent="0.35">
      <c r="S382" s="6">
        <v>46162.583333333336</v>
      </c>
      <c r="T382" s="12"/>
      <c r="U382" s="12">
        <v>1</v>
      </c>
      <c r="V382" s="12"/>
      <c r="W382" s="12">
        <v>1</v>
      </c>
    </row>
    <row r="383" spans="19:23" x14ac:dyDescent="0.35">
      <c r="S383" s="6">
        <v>46162.739583333336</v>
      </c>
      <c r="T383" s="12"/>
      <c r="U383" s="12"/>
      <c r="V383" s="12">
        <v>1</v>
      </c>
      <c r="W383" s="12">
        <v>1</v>
      </c>
    </row>
    <row r="384" spans="19:23" x14ac:dyDescent="0.35">
      <c r="S384" s="6">
        <v>46163.5</v>
      </c>
      <c r="T384" s="12"/>
      <c r="U384" s="12">
        <v>1</v>
      </c>
      <c r="V384" s="12"/>
      <c r="W384" s="12">
        <v>1</v>
      </c>
    </row>
    <row r="385" spans="19:23" x14ac:dyDescent="0.35">
      <c r="S385" s="6">
        <v>46163.65625</v>
      </c>
      <c r="T385" s="12"/>
      <c r="U385" s="12">
        <v>1</v>
      </c>
      <c r="V385" s="12"/>
      <c r="W385" s="12">
        <v>1</v>
      </c>
    </row>
    <row r="386" spans="19:23" x14ac:dyDescent="0.35">
      <c r="S386" s="6">
        <v>46163.666666666664</v>
      </c>
      <c r="T386" s="12"/>
      <c r="U386" s="12">
        <v>1</v>
      </c>
      <c r="V386" s="12"/>
      <c r="W386" s="12">
        <v>1</v>
      </c>
    </row>
    <row r="387" spans="19:23" x14ac:dyDescent="0.35">
      <c r="S387" s="6">
        <v>46163.708333333336</v>
      </c>
      <c r="T387" s="12">
        <v>1</v>
      </c>
      <c r="U387" s="12"/>
      <c r="V387" s="12"/>
      <c r="W387" s="12">
        <v>1</v>
      </c>
    </row>
    <row r="388" spans="19:23" x14ac:dyDescent="0.35">
      <c r="S388" s="6">
        <v>46164.4375</v>
      </c>
      <c r="T388" s="12">
        <v>1</v>
      </c>
      <c r="U388" s="12"/>
      <c r="V388" s="12"/>
      <c r="W388" s="12">
        <v>1</v>
      </c>
    </row>
    <row r="389" spans="19:23" x14ac:dyDescent="0.35">
      <c r="S389" s="6">
        <v>46164.635416666664</v>
      </c>
      <c r="T389" s="12"/>
      <c r="U389" s="12">
        <v>1</v>
      </c>
      <c r="V389" s="12"/>
      <c r="W389" s="12">
        <v>1</v>
      </c>
    </row>
    <row r="390" spans="19:23" x14ac:dyDescent="0.35">
      <c r="S390" s="6">
        <v>46164.78125</v>
      </c>
      <c r="T390" s="12"/>
      <c r="U390" s="12">
        <v>1</v>
      </c>
      <c r="V390" s="12"/>
      <c r="W390" s="12">
        <v>1</v>
      </c>
    </row>
    <row r="391" spans="19:23" x14ac:dyDescent="0.35">
      <c r="S391" s="6">
        <v>46165.645833333336</v>
      </c>
      <c r="T391" s="12"/>
      <c r="U391" s="12">
        <v>1</v>
      </c>
      <c r="V391" s="12"/>
      <c r="W391" s="12">
        <v>1</v>
      </c>
    </row>
    <row r="392" spans="19:23" x14ac:dyDescent="0.35">
      <c r="S392" s="6">
        <v>46166.333333333336</v>
      </c>
      <c r="T392" s="12"/>
      <c r="U392" s="12"/>
      <c r="V392" s="12">
        <v>1</v>
      </c>
      <c r="W392" s="12">
        <v>1</v>
      </c>
    </row>
    <row r="393" spans="19:23" x14ac:dyDescent="0.35">
      <c r="S393" s="6">
        <v>46166.395833333336</v>
      </c>
      <c r="T393" s="12"/>
      <c r="U393" s="12">
        <v>1</v>
      </c>
      <c r="V393" s="12"/>
      <c r="W393" s="12">
        <v>1</v>
      </c>
    </row>
    <row r="394" spans="19:23" x14ac:dyDescent="0.35">
      <c r="S394" s="6">
        <v>46166.697916666664</v>
      </c>
      <c r="T394" s="12"/>
      <c r="U394" s="12"/>
      <c r="V394" s="12">
        <v>1</v>
      </c>
      <c r="W394" s="12">
        <v>1</v>
      </c>
    </row>
    <row r="395" spans="19:23" x14ac:dyDescent="0.35">
      <c r="S395" s="6">
        <v>46166.770833333336</v>
      </c>
      <c r="T395" s="12"/>
      <c r="U395" s="12">
        <v>1</v>
      </c>
      <c r="V395" s="12"/>
      <c r="W395" s="12">
        <v>1</v>
      </c>
    </row>
    <row r="396" spans="19:23" x14ac:dyDescent="0.35">
      <c r="S396" s="6">
        <v>46167.489583333336</v>
      </c>
      <c r="T396" s="12">
        <v>1</v>
      </c>
      <c r="U396" s="12"/>
      <c r="V396" s="12"/>
      <c r="W396" s="12">
        <v>1</v>
      </c>
    </row>
    <row r="397" spans="19:23" x14ac:dyDescent="0.35">
      <c r="S397" s="6">
        <v>46167.510416666664</v>
      </c>
      <c r="T397" s="12"/>
      <c r="U397" s="12">
        <v>1</v>
      </c>
      <c r="V397" s="12"/>
      <c r="W397" s="12">
        <v>1</v>
      </c>
    </row>
    <row r="398" spans="19:23" x14ac:dyDescent="0.35">
      <c r="S398" s="6">
        <v>46167.604166666664</v>
      </c>
      <c r="T398" s="12"/>
      <c r="U398" s="12"/>
      <c r="V398" s="12">
        <v>1</v>
      </c>
      <c r="W398" s="12">
        <v>1</v>
      </c>
    </row>
    <row r="399" spans="19:23" x14ac:dyDescent="0.35">
      <c r="S399" s="6">
        <v>46167.645833333336</v>
      </c>
      <c r="T399" s="12"/>
      <c r="U399" s="12">
        <v>1</v>
      </c>
      <c r="V399" s="12"/>
      <c r="W399" s="12">
        <v>1</v>
      </c>
    </row>
    <row r="400" spans="19:23" x14ac:dyDescent="0.35">
      <c r="S400" s="6">
        <v>46167.677083333336</v>
      </c>
      <c r="T400" s="12"/>
      <c r="U400" s="12">
        <v>1</v>
      </c>
      <c r="V400" s="12"/>
      <c r="W400" s="12">
        <v>1</v>
      </c>
    </row>
    <row r="401" spans="19:23" x14ac:dyDescent="0.35">
      <c r="S401" s="6">
        <v>46168.645833333336</v>
      </c>
      <c r="T401" s="12"/>
      <c r="U401" s="12">
        <v>1</v>
      </c>
      <c r="V401" s="12"/>
      <c r="W401" s="12">
        <v>1</v>
      </c>
    </row>
    <row r="402" spans="19:23" x14ac:dyDescent="0.35">
      <c r="S402" s="6">
        <v>46169.385416666664</v>
      </c>
      <c r="T402" s="12"/>
      <c r="U402" s="12">
        <v>1</v>
      </c>
      <c r="V402" s="12"/>
      <c r="W402" s="12">
        <v>1</v>
      </c>
    </row>
    <row r="403" spans="19:23" x14ac:dyDescent="0.35">
      <c r="S403" s="6">
        <v>46169.65625</v>
      </c>
      <c r="T403" s="12"/>
      <c r="U403" s="12">
        <v>1</v>
      </c>
      <c r="V403" s="12"/>
      <c r="W403" s="12">
        <v>1</v>
      </c>
    </row>
    <row r="404" spans="19:23" x14ac:dyDescent="0.35">
      <c r="S404" s="6">
        <v>46169.78125</v>
      </c>
      <c r="T404" s="12"/>
      <c r="U404" s="12">
        <v>1</v>
      </c>
      <c r="V404" s="12"/>
      <c r="W404" s="12">
        <v>1</v>
      </c>
    </row>
    <row r="405" spans="19:23" x14ac:dyDescent="0.35">
      <c r="S405" s="6">
        <v>46170.53125</v>
      </c>
      <c r="T405" s="12"/>
      <c r="U405" s="12">
        <v>1</v>
      </c>
      <c r="V405" s="12"/>
      <c r="W405" s="12">
        <v>1</v>
      </c>
    </row>
    <row r="406" spans="19:23" x14ac:dyDescent="0.35">
      <c r="S406" s="6">
        <v>46170.770833333336</v>
      </c>
      <c r="T406" s="12"/>
      <c r="U406" s="12">
        <v>1</v>
      </c>
      <c r="V406" s="12"/>
      <c r="W406" s="12">
        <v>1</v>
      </c>
    </row>
    <row r="407" spans="19:23" x14ac:dyDescent="0.35">
      <c r="S407" s="6">
        <v>46171.385416666664</v>
      </c>
      <c r="T407" s="12"/>
      <c r="U407" s="12"/>
      <c r="V407" s="12">
        <v>1</v>
      </c>
      <c r="W407" s="12">
        <v>1</v>
      </c>
    </row>
    <row r="408" spans="19:23" x14ac:dyDescent="0.35">
      <c r="S408" s="6">
        <v>46171.59375</v>
      </c>
      <c r="T408" s="12"/>
      <c r="U408" s="12">
        <v>1</v>
      </c>
      <c r="V408" s="12"/>
      <c r="W408" s="12">
        <v>1</v>
      </c>
    </row>
    <row r="409" spans="19:23" x14ac:dyDescent="0.35">
      <c r="S409" s="6">
        <v>46172.333333333336</v>
      </c>
      <c r="T409" s="12"/>
      <c r="U409" s="12">
        <v>1</v>
      </c>
      <c r="V409" s="12"/>
      <c r="W409" s="12">
        <v>1</v>
      </c>
    </row>
    <row r="410" spans="19:23" x14ac:dyDescent="0.35">
      <c r="S410" s="6">
        <v>46172.583333333336</v>
      </c>
      <c r="T410" s="12"/>
      <c r="U410" s="12">
        <v>1</v>
      </c>
      <c r="V410" s="12"/>
      <c r="W410" s="12">
        <v>1</v>
      </c>
    </row>
    <row r="411" spans="19:23" x14ac:dyDescent="0.35">
      <c r="S411" s="6">
        <v>46173.375</v>
      </c>
      <c r="T411" s="12"/>
      <c r="U411" s="12">
        <v>1</v>
      </c>
      <c r="V411" s="12"/>
      <c r="W411" s="12">
        <v>1</v>
      </c>
    </row>
    <row r="412" spans="19:23" x14ac:dyDescent="0.35">
      <c r="S412" s="6">
        <v>46173.46875</v>
      </c>
      <c r="T412" s="12"/>
      <c r="U412" s="12">
        <v>1</v>
      </c>
      <c r="V412" s="12"/>
      <c r="W412" s="12">
        <v>1</v>
      </c>
    </row>
    <row r="413" spans="19:23" x14ac:dyDescent="0.35">
      <c r="S413" s="6">
        <v>46173.5</v>
      </c>
      <c r="T413" s="12"/>
      <c r="U413" s="12">
        <v>1</v>
      </c>
      <c r="V413" s="12"/>
      <c r="W413" s="12">
        <v>1</v>
      </c>
    </row>
    <row r="414" spans="19:23" x14ac:dyDescent="0.35">
      <c r="S414" s="6">
        <v>46174.520833333336</v>
      </c>
      <c r="T414" s="12"/>
      <c r="U414" s="12">
        <v>1</v>
      </c>
      <c r="V414" s="12"/>
      <c r="W414" s="12">
        <v>1</v>
      </c>
    </row>
    <row r="415" spans="19:23" x14ac:dyDescent="0.35">
      <c r="S415" s="6">
        <v>46175.333333333336</v>
      </c>
      <c r="T415" s="12"/>
      <c r="U415" s="12"/>
      <c r="V415" s="12">
        <v>1</v>
      </c>
      <c r="W415" s="12">
        <v>1</v>
      </c>
    </row>
    <row r="416" spans="19:23" x14ac:dyDescent="0.35">
      <c r="S416" s="6">
        <v>46175.34375</v>
      </c>
      <c r="T416" s="12"/>
      <c r="U416" s="12"/>
      <c r="V416" s="12">
        <v>1</v>
      </c>
      <c r="W416" s="12">
        <v>1</v>
      </c>
    </row>
    <row r="417" spans="19:23" x14ac:dyDescent="0.35">
      <c r="S417" s="6">
        <v>46176.333333333336</v>
      </c>
      <c r="T417" s="12"/>
      <c r="U417" s="12">
        <v>1</v>
      </c>
      <c r="V417" s="12"/>
      <c r="W417" s="12">
        <v>1</v>
      </c>
    </row>
    <row r="418" spans="19:23" x14ac:dyDescent="0.35">
      <c r="S418" s="6">
        <v>46176.75</v>
      </c>
      <c r="T418" s="12"/>
      <c r="U418" s="12"/>
      <c r="V418" s="12">
        <v>1</v>
      </c>
      <c r="W418" s="12">
        <v>1</v>
      </c>
    </row>
    <row r="419" spans="19:23" x14ac:dyDescent="0.35">
      <c r="S419" s="6">
        <v>46177.4375</v>
      </c>
      <c r="T419" s="12"/>
      <c r="U419" s="12">
        <v>1</v>
      </c>
      <c r="V419" s="12"/>
      <c r="W419" s="12">
        <v>1</v>
      </c>
    </row>
    <row r="420" spans="19:23" x14ac:dyDescent="0.35">
      <c r="S420" s="6">
        <v>46178.416666666664</v>
      </c>
      <c r="T420" s="12"/>
      <c r="U420" s="12">
        <v>1</v>
      </c>
      <c r="V420" s="12"/>
      <c r="W420" s="12">
        <v>1</v>
      </c>
    </row>
    <row r="421" spans="19:23" x14ac:dyDescent="0.35">
      <c r="S421" s="6">
        <v>46178.489583333336</v>
      </c>
      <c r="T421" s="12"/>
      <c r="U421" s="12">
        <v>1</v>
      </c>
      <c r="V421" s="12"/>
      <c r="W421" s="12">
        <v>1</v>
      </c>
    </row>
    <row r="422" spans="19:23" x14ac:dyDescent="0.35">
      <c r="S422" s="6">
        <v>46178.708333333336</v>
      </c>
      <c r="T422" s="12"/>
      <c r="U422" s="12">
        <v>1</v>
      </c>
      <c r="V422" s="12"/>
      <c r="W422" s="12">
        <v>1</v>
      </c>
    </row>
    <row r="423" spans="19:23" x14ac:dyDescent="0.35">
      <c r="S423" s="6">
        <v>46179.53125</v>
      </c>
      <c r="T423" s="12"/>
      <c r="U423" s="12">
        <v>1</v>
      </c>
      <c r="V423" s="12"/>
      <c r="W423" s="12">
        <v>1</v>
      </c>
    </row>
    <row r="424" spans="19:23" x14ac:dyDescent="0.35">
      <c r="S424" s="6">
        <v>46179.625</v>
      </c>
      <c r="T424" s="12"/>
      <c r="U424" s="12">
        <v>1</v>
      </c>
      <c r="V424" s="12"/>
      <c r="W424" s="12">
        <v>1</v>
      </c>
    </row>
    <row r="425" spans="19:23" x14ac:dyDescent="0.35">
      <c r="S425" s="6">
        <v>46179.635416666664</v>
      </c>
      <c r="T425" s="12"/>
      <c r="U425" s="12">
        <v>1</v>
      </c>
      <c r="V425" s="12"/>
      <c r="W425" s="12">
        <v>1</v>
      </c>
    </row>
    <row r="426" spans="19:23" x14ac:dyDescent="0.35">
      <c r="S426" s="6">
        <v>46179.708333333336</v>
      </c>
      <c r="T426" s="12"/>
      <c r="U426" s="12"/>
      <c r="V426" s="12">
        <v>1</v>
      </c>
      <c r="W426" s="12">
        <v>1</v>
      </c>
    </row>
    <row r="427" spans="19:23" x14ac:dyDescent="0.35">
      <c r="S427" s="6">
        <v>46180.46875</v>
      </c>
      <c r="T427" s="12"/>
      <c r="U427" s="12">
        <v>1</v>
      </c>
      <c r="V427" s="12"/>
      <c r="W427" s="12">
        <v>1</v>
      </c>
    </row>
    <row r="428" spans="19:23" x14ac:dyDescent="0.35">
      <c r="S428" s="6">
        <v>46180.520833333336</v>
      </c>
      <c r="T428" s="12">
        <v>1</v>
      </c>
      <c r="U428" s="12"/>
      <c r="V428" s="12"/>
      <c r="W428" s="12">
        <v>1</v>
      </c>
    </row>
    <row r="429" spans="19:23" x14ac:dyDescent="0.35">
      <c r="S429" s="6">
        <v>46180.677083333336</v>
      </c>
      <c r="T429" s="12"/>
      <c r="U429" s="12">
        <v>1</v>
      </c>
      <c r="V429" s="12"/>
      <c r="W429" s="12">
        <v>1</v>
      </c>
    </row>
    <row r="430" spans="19:23" x14ac:dyDescent="0.35">
      <c r="S430" s="6">
        <v>46181.427083333336</v>
      </c>
      <c r="T430" s="12"/>
      <c r="U430" s="12">
        <v>1</v>
      </c>
      <c r="V430" s="12"/>
      <c r="W430" s="12">
        <v>1</v>
      </c>
    </row>
    <row r="431" spans="19:23" x14ac:dyDescent="0.35">
      <c r="S431" s="6">
        <v>46182.520833333336</v>
      </c>
      <c r="T431" s="12"/>
      <c r="U431" s="12"/>
      <c r="V431" s="12">
        <v>1</v>
      </c>
      <c r="W431" s="12">
        <v>1</v>
      </c>
    </row>
    <row r="432" spans="19:23" x14ac:dyDescent="0.35">
      <c r="S432" s="6">
        <v>46182.708333333336</v>
      </c>
      <c r="T432" s="12"/>
      <c r="U432" s="12">
        <v>1</v>
      </c>
      <c r="V432" s="12"/>
      <c r="W432" s="12">
        <v>1</v>
      </c>
    </row>
    <row r="433" spans="19:23" x14ac:dyDescent="0.35">
      <c r="S433" s="6">
        <v>46183.666666666664</v>
      </c>
      <c r="T433" s="12"/>
      <c r="U433" s="12">
        <v>1</v>
      </c>
      <c r="V433" s="12"/>
      <c r="W433" s="12">
        <v>1</v>
      </c>
    </row>
    <row r="434" spans="19:23" x14ac:dyDescent="0.35">
      <c r="S434" s="6">
        <v>46183.739583333336</v>
      </c>
      <c r="T434" s="12"/>
      <c r="U434" s="12">
        <v>1</v>
      </c>
      <c r="V434" s="12"/>
      <c r="W434" s="12">
        <v>1</v>
      </c>
    </row>
    <row r="435" spans="19:23" x14ac:dyDescent="0.35">
      <c r="S435" s="6">
        <v>46184.427083333336</v>
      </c>
      <c r="T435" s="12"/>
      <c r="U435" s="12">
        <v>1</v>
      </c>
      <c r="V435" s="12"/>
      <c r="W435" s="12">
        <v>1</v>
      </c>
    </row>
    <row r="436" spans="19:23" x14ac:dyDescent="0.35">
      <c r="S436" s="6">
        <v>46184.708333333336</v>
      </c>
      <c r="T436" s="12"/>
      <c r="U436" s="12">
        <v>1</v>
      </c>
      <c r="V436" s="12"/>
      <c r="W436" s="12">
        <v>1</v>
      </c>
    </row>
    <row r="437" spans="19:23" x14ac:dyDescent="0.35">
      <c r="S437" s="6">
        <v>46185.59375</v>
      </c>
      <c r="T437" s="12"/>
      <c r="U437" s="12">
        <v>1</v>
      </c>
      <c r="V437" s="12"/>
      <c r="W437" s="12">
        <v>1</v>
      </c>
    </row>
    <row r="438" spans="19:23" x14ac:dyDescent="0.35">
      <c r="S438" s="6">
        <v>46185.645833333336</v>
      </c>
      <c r="T438" s="12"/>
      <c r="U438" s="12">
        <v>1</v>
      </c>
      <c r="V438" s="12"/>
      <c r="W438" s="12">
        <v>1</v>
      </c>
    </row>
    <row r="439" spans="19:23" x14ac:dyDescent="0.35">
      <c r="S439" s="6">
        <v>46185.71875</v>
      </c>
      <c r="T439" s="12">
        <v>1</v>
      </c>
      <c r="U439" s="12"/>
      <c r="V439" s="12"/>
      <c r="W439" s="12">
        <v>1</v>
      </c>
    </row>
    <row r="440" spans="19:23" x14ac:dyDescent="0.35">
      <c r="S440" s="6">
        <v>46186.583333333336</v>
      </c>
      <c r="T440" s="12"/>
      <c r="U440" s="12"/>
      <c r="V440" s="12">
        <v>1</v>
      </c>
      <c r="W440" s="12">
        <v>1</v>
      </c>
    </row>
    <row r="441" spans="19:23" x14ac:dyDescent="0.35">
      <c r="S441" s="6">
        <v>46186.645833333336</v>
      </c>
      <c r="T441" s="12"/>
      <c r="U441" s="12">
        <v>1</v>
      </c>
      <c r="V441" s="12"/>
      <c r="W441" s="12">
        <v>1</v>
      </c>
    </row>
    <row r="442" spans="19:23" x14ac:dyDescent="0.35">
      <c r="S442" s="6">
        <v>46187.53125</v>
      </c>
      <c r="T442" s="12"/>
      <c r="U442" s="12">
        <v>1</v>
      </c>
      <c r="V442" s="12"/>
      <c r="W442" s="12">
        <v>1</v>
      </c>
    </row>
    <row r="443" spans="19:23" x14ac:dyDescent="0.35">
      <c r="S443" s="6">
        <v>46187.59375</v>
      </c>
      <c r="T443" s="12"/>
      <c r="U443" s="12"/>
      <c r="V443" s="12">
        <v>1</v>
      </c>
      <c r="W443" s="12">
        <v>1</v>
      </c>
    </row>
    <row r="444" spans="19:23" x14ac:dyDescent="0.35">
      <c r="S444" s="6">
        <v>46187.645833333336</v>
      </c>
      <c r="T444" s="12"/>
      <c r="U444" s="12">
        <v>1</v>
      </c>
      <c r="V444" s="12"/>
      <c r="W444" s="12">
        <v>1</v>
      </c>
    </row>
    <row r="445" spans="19:23" x14ac:dyDescent="0.35">
      <c r="S445" s="6">
        <v>46187.677083333336</v>
      </c>
      <c r="T445" s="12"/>
      <c r="U445" s="12">
        <v>1</v>
      </c>
      <c r="V445" s="12"/>
      <c r="W445" s="12">
        <v>1</v>
      </c>
    </row>
    <row r="446" spans="19:23" x14ac:dyDescent="0.35">
      <c r="S446" s="6">
        <v>46187.75</v>
      </c>
      <c r="T446" s="12"/>
      <c r="U446" s="12">
        <v>1</v>
      </c>
      <c r="V446" s="12"/>
      <c r="W446" s="12">
        <v>1</v>
      </c>
    </row>
    <row r="447" spans="19:23" x14ac:dyDescent="0.35">
      <c r="S447" s="6">
        <v>46188.40625</v>
      </c>
      <c r="T447" s="12"/>
      <c r="U447" s="12"/>
      <c r="V447" s="12">
        <v>1</v>
      </c>
      <c r="W447" s="12">
        <v>1</v>
      </c>
    </row>
    <row r="448" spans="19:23" x14ac:dyDescent="0.35">
      <c r="S448" s="6">
        <v>46188.416666666664</v>
      </c>
      <c r="T448" s="12"/>
      <c r="U448" s="12">
        <v>1</v>
      </c>
      <c r="V448" s="12"/>
      <c r="W448" s="12">
        <v>1</v>
      </c>
    </row>
    <row r="449" spans="19:23" x14ac:dyDescent="0.35">
      <c r="S449" s="6">
        <v>46188.4375</v>
      </c>
      <c r="T449" s="12"/>
      <c r="U449" s="12">
        <v>1</v>
      </c>
      <c r="V449" s="12"/>
      <c r="W449" s="12">
        <v>1</v>
      </c>
    </row>
    <row r="450" spans="19:23" x14ac:dyDescent="0.35">
      <c r="S450" s="6">
        <v>46188.447916666664</v>
      </c>
      <c r="T450" s="12"/>
      <c r="U450" s="12"/>
      <c r="V450" s="12">
        <v>1</v>
      </c>
      <c r="W450" s="12">
        <v>1</v>
      </c>
    </row>
    <row r="451" spans="19:23" x14ac:dyDescent="0.35">
      <c r="S451" s="6">
        <v>46188.677083333336</v>
      </c>
      <c r="T451" s="12"/>
      <c r="U451" s="12">
        <v>1</v>
      </c>
      <c r="V451" s="12"/>
      <c r="W451" s="12">
        <v>1</v>
      </c>
    </row>
    <row r="452" spans="19:23" x14ac:dyDescent="0.35">
      <c r="S452" s="6">
        <v>46188.739583333336</v>
      </c>
      <c r="T452" s="12"/>
      <c r="U452" s="12">
        <v>1</v>
      </c>
      <c r="V452" s="12"/>
      <c r="W452" s="12">
        <v>1</v>
      </c>
    </row>
    <row r="453" spans="19:23" x14ac:dyDescent="0.35">
      <c r="S453" s="6">
        <v>46189.375</v>
      </c>
      <c r="T453" s="12"/>
      <c r="U453" s="12">
        <v>1</v>
      </c>
      <c r="V453" s="12"/>
      <c r="W453" s="12">
        <v>1</v>
      </c>
    </row>
    <row r="454" spans="19:23" x14ac:dyDescent="0.35">
      <c r="S454" s="6">
        <v>46190.583333333336</v>
      </c>
      <c r="T454" s="12"/>
      <c r="U454" s="12">
        <v>1</v>
      </c>
      <c r="V454" s="12"/>
      <c r="W454" s="12">
        <v>1</v>
      </c>
    </row>
    <row r="455" spans="19:23" x14ac:dyDescent="0.35">
      <c r="S455" s="6">
        <v>46191.645833333336</v>
      </c>
      <c r="T455" s="12"/>
      <c r="U455" s="12">
        <v>2</v>
      </c>
      <c r="V455" s="12"/>
      <c r="W455" s="12">
        <v>2</v>
      </c>
    </row>
    <row r="456" spans="19:23" x14ac:dyDescent="0.35">
      <c r="S456" s="6">
        <v>46192.447916666664</v>
      </c>
      <c r="T456" s="12"/>
      <c r="U456" s="12">
        <v>1</v>
      </c>
      <c r="V456" s="12"/>
      <c r="W456" s="12">
        <v>1</v>
      </c>
    </row>
    <row r="457" spans="19:23" x14ac:dyDescent="0.35">
      <c r="S457" s="6">
        <v>46192.479166666664</v>
      </c>
      <c r="T457" s="12"/>
      <c r="U457" s="12">
        <v>1</v>
      </c>
      <c r="V457" s="12"/>
      <c r="W457" s="12">
        <v>1</v>
      </c>
    </row>
    <row r="458" spans="19:23" x14ac:dyDescent="0.35">
      <c r="S458" s="6">
        <v>46192.583333333336</v>
      </c>
      <c r="T458" s="12">
        <v>1</v>
      </c>
      <c r="U458" s="12"/>
      <c r="V458" s="12"/>
      <c r="W458" s="12">
        <v>1</v>
      </c>
    </row>
    <row r="459" spans="19:23" x14ac:dyDescent="0.35">
      <c r="S459" s="6">
        <v>46192.59375</v>
      </c>
      <c r="T459" s="12"/>
      <c r="U459" s="12"/>
      <c r="V459" s="12">
        <v>1</v>
      </c>
      <c r="W459" s="12">
        <v>1</v>
      </c>
    </row>
    <row r="460" spans="19:23" x14ac:dyDescent="0.35">
      <c r="S460" s="6">
        <v>46192.65625</v>
      </c>
      <c r="T460" s="12">
        <v>1</v>
      </c>
      <c r="U460" s="12"/>
      <c r="V460" s="12"/>
      <c r="W460" s="12">
        <v>1</v>
      </c>
    </row>
    <row r="461" spans="19:23" x14ac:dyDescent="0.35">
      <c r="S461" s="6">
        <v>46192.697916666664</v>
      </c>
      <c r="T461" s="12"/>
      <c r="U461" s="12">
        <v>1</v>
      </c>
      <c r="V461" s="12"/>
      <c r="W461" s="12">
        <v>1</v>
      </c>
    </row>
    <row r="462" spans="19:23" x14ac:dyDescent="0.35">
      <c r="S462" s="6">
        <v>46192.729166666664</v>
      </c>
      <c r="T462" s="12">
        <v>1</v>
      </c>
      <c r="U462" s="12"/>
      <c r="V462" s="12"/>
      <c r="W462" s="12">
        <v>1</v>
      </c>
    </row>
    <row r="463" spans="19:23" x14ac:dyDescent="0.35">
      <c r="S463" s="6">
        <v>46193.416666666664</v>
      </c>
      <c r="T463" s="12"/>
      <c r="U463" s="12">
        <v>1</v>
      </c>
      <c r="V463" s="12"/>
      <c r="W463" s="12">
        <v>1</v>
      </c>
    </row>
    <row r="464" spans="19:23" x14ac:dyDescent="0.35">
      <c r="S464" s="6">
        <v>46193.520833333336</v>
      </c>
      <c r="T464" s="12"/>
      <c r="U464" s="12">
        <v>1</v>
      </c>
      <c r="V464" s="12"/>
      <c r="W464" s="12">
        <v>1</v>
      </c>
    </row>
    <row r="465" spans="19:23" x14ac:dyDescent="0.35">
      <c r="S465" s="6">
        <v>46193.625</v>
      </c>
      <c r="T465" s="12"/>
      <c r="U465" s="12">
        <v>1</v>
      </c>
      <c r="V465" s="12"/>
      <c r="W465" s="12">
        <v>1</v>
      </c>
    </row>
    <row r="466" spans="19:23" x14ac:dyDescent="0.35">
      <c r="S466" s="6">
        <v>46193.635416666664</v>
      </c>
      <c r="T466" s="12">
        <v>1</v>
      </c>
      <c r="U466" s="12"/>
      <c r="V466" s="12"/>
      <c r="W466" s="12">
        <v>1</v>
      </c>
    </row>
    <row r="467" spans="19:23" x14ac:dyDescent="0.35">
      <c r="S467" s="6">
        <v>46193.729166666664</v>
      </c>
      <c r="T467" s="12"/>
      <c r="U467" s="12">
        <v>1</v>
      </c>
      <c r="V467" s="12"/>
      <c r="W467" s="12">
        <v>1</v>
      </c>
    </row>
    <row r="468" spans="19:23" x14ac:dyDescent="0.35">
      <c r="S468" s="6">
        <v>46194.604166666664</v>
      </c>
      <c r="T468" s="12"/>
      <c r="U468" s="12">
        <v>1</v>
      </c>
      <c r="V468" s="12"/>
      <c r="W468" s="12">
        <v>1</v>
      </c>
    </row>
    <row r="469" spans="19:23" x14ac:dyDescent="0.35">
      <c r="S469" s="6">
        <v>46194.71875</v>
      </c>
      <c r="T469" s="12"/>
      <c r="U469" s="12"/>
      <c r="V469" s="12">
        <v>1</v>
      </c>
      <c r="W469" s="12">
        <v>1</v>
      </c>
    </row>
    <row r="470" spans="19:23" x14ac:dyDescent="0.35">
      <c r="S470" s="6">
        <v>46194.739583333336</v>
      </c>
      <c r="T470" s="12">
        <v>1</v>
      </c>
      <c r="U470" s="12"/>
      <c r="V470" s="12"/>
      <c r="W470" s="12">
        <v>1</v>
      </c>
    </row>
    <row r="471" spans="19:23" x14ac:dyDescent="0.35">
      <c r="S471" s="6">
        <v>46194.75</v>
      </c>
      <c r="T471" s="12">
        <v>1</v>
      </c>
      <c r="U471" s="12"/>
      <c r="V471" s="12"/>
      <c r="W471" s="12">
        <v>1</v>
      </c>
    </row>
    <row r="472" spans="19:23" x14ac:dyDescent="0.35">
      <c r="S472" s="6">
        <v>46195.4375</v>
      </c>
      <c r="T472" s="12"/>
      <c r="U472" s="12">
        <v>1</v>
      </c>
      <c r="V472" s="12"/>
      <c r="W472" s="12">
        <v>1</v>
      </c>
    </row>
    <row r="473" spans="19:23" x14ac:dyDescent="0.35">
      <c r="S473" s="6">
        <v>46195.489583333336</v>
      </c>
      <c r="T473" s="12"/>
      <c r="U473" s="12">
        <v>1</v>
      </c>
      <c r="V473" s="12"/>
      <c r="W473" s="12">
        <v>1</v>
      </c>
    </row>
    <row r="474" spans="19:23" x14ac:dyDescent="0.35">
      <c r="S474" s="6">
        <v>46195.75</v>
      </c>
      <c r="T474" s="12"/>
      <c r="U474" s="12"/>
      <c r="V474" s="12">
        <v>1</v>
      </c>
      <c r="W474" s="12">
        <v>1</v>
      </c>
    </row>
    <row r="475" spans="19:23" x14ac:dyDescent="0.35">
      <c r="S475" s="6">
        <v>46196.479166666664</v>
      </c>
      <c r="T475" s="12"/>
      <c r="U475" s="12"/>
      <c r="V475" s="12">
        <v>1</v>
      </c>
      <c r="W475" s="12">
        <v>1</v>
      </c>
    </row>
    <row r="476" spans="19:23" x14ac:dyDescent="0.35">
      <c r="S476" s="6">
        <v>46196.78125</v>
      </c>
      <c r="T476" s="12"/>
      <c r="U476" s="12">
        <v>1</v>
      </c>
      <c r="V476" s="12"/>
      <c r="W476" s="12">
        <v>1</v>
      </c>
    </row>
    <row r="477" spans="19:23" x14ac:dyDescent="0.35">
      <c r="S477" s="6">
        <v>46197.395833333336</v>
      </c>
      <c r="T477" s="12"/>
      <c r="U477" s="12"/>
      <c r="V477" s="12">
        <v>1</v>
      </c>
      <c r="W477" s="12">
        <v>1</v>
      </c>
    </row>
    <row r="478" spans="19:23" x14ac:dyDescent="0.35">
      <c r="S478" s="6">
        <v>46197.625</v>
      </c>
      <c r="T478" s="12"/>
      <c r="U478" s="12">
        <v>1</v>
      </c>
      <c r="V478" s="12"/>
      <c r="W478" s="12">
        <v>1</v>
      </c>
    </row>
    <row r="479" spans="19:23" x14ac:dyDescent="0.35">
      <c r="S479" s="6">
        <v>46198.447916666664</v>
      </c>
      <c r="T479" s="12"/>
      <c r="U479" s="12">
        <v>1</v>
      </c>
      <c r="V479" s="12"/>
      <c r="W479" s="12">
        <v>1</v>
      </c>
    </row>
    <row r="480" spans="19:23" x14ac:dyDescent="0.35">
      <c r="S480" s="6">
        <v>46198.479166666664</v>
      </c>
      <c r="T480" s="12"/>
      <c r="U480" s="12"/>
      <c r="V480" s="12">
        <v>1</v>
      </c>
      <c r="W480" s="12">
        <v>1</v>
      </c>
    </row>
    <row r="481" spans="19:23" x14ac:dyDescent="0.35">
      <c r="S481" s="6">
        <v>46199.395833333336</v>
      </c>
      <c r="T481" s="12"/>
      <c r="U481" s="12">
        <v>1</v>
      </c>
      <c r="V481" s="12"/>
      <c r="W481" s="12">
        <v>1</v>
      </c>
    </row>
    <row r="482" spans="19:23" x14ac:dyDescent="0.35">
      <c r="S482" s="6">
        <v>46199.416666666664</v>
      </c>
      <c r="T482" s="12"/>
      <c r="U482" s="12">
        <v>1</v>
      </c>
      <c r="V482" s="12"/>
      <c r="W482" s="12">
        <v>1</v>
      </c>
    </row>
    <row r="483" spans="19:23" x14ac:dyDescent="0.35">
      <c r="S483" s="6">
        <v>46199.4375</v>
      </c>
      <c r="T483" s="12"/>
      <c r="U483" s="12">
        <v>1</v>
      </c>
      <c r="V483" s="12"/>
      <c r="W483" s="12">
        <v>1</v>
      </c>
    </row>
    <row r="484" spans="19:23" x14ac:dyDescent="0.35">
      <c r="S484" s="6">
        <v>46199.458333333336</v>
      </c>
      <c r="T484" s="12"/>
      <c r="U484" s="12"/>
      <c r="V484" s="12">
        <v>1</v>
      </c>
      <c r="W484" s="12">
        <v>1</v>
      </c>
    </row>
    <row r="485" spans="19:23" x14ac:dyDescent="0.35">
      <c r="S485" s="6">
        <v>46199.614583333336</v>
      </c>
      <c r="T485" s="12"/>
      <c r="U485" s="12">
        <v>1</v>
      </c>
      <c r="V485" s="12"/>
      <c r="W485" s="12">
        <v>1</v>
      </c>
    </row>
    <row r="486" spans="19:23" x14ac:dyDescent="0.35">
      <c r="S486" s="6">
        <v>46199.697916666664</v>
      </c>
      <c r="T486" s="12"/>
      <c r="U486" s="12"/>
      <c r="V486" s="12">
        <v>1</v>
      </c>
      <c r="W486" s="12">
        <v>1</v>
      </c>
    </row>
    <row r="487" spans="19:23" x14ac:dyDescent="0.35">
      <c r="S487" s="6">
        <v>46200.614583333336</v>
      </c>
      <c r="T487" s="12"/>
      <c r="U487" s="12">
        <v>1</v>
      </c>
      <c r="V487" s="12"/>
      <c r="W487" s="12">
        <v>1</v>
      </c>
    </row>
    <row r="488" spans="19:23" x14ac:dyDescent="0.35">
      <c r="S488" s="6">
        <v>46201.489583333336</v>
      </c>
      <c r="T488" s="12"/>
      <c r="U488" s="12">
        <v>1</v>
      </c>
      <c r="V488" s="12"/>
      <c r="W488" s="12">
        <v>1</v>
      </c>
    </row>
    <row r="489" spans="19:23" x14ac:dyDescent="0.35">
      <c r="S489" s="6">
        <v>46201.583333333336</v>
      </c>
      <c r="T489" s="12"/>
      <c r="U489" s="12">
        <v>1</v>
      </c>
      <c r="V489" s="12"/>
      <c r="W489" s="12">
        <v>1</v>
      </c>
    </row>
    <row r="490" spans="19:23" x14ac:dyDescent="0.35">
      <c r="S490" s="6">
        <v>46201.65625</v>
      </c>
      <c r="T490" s="12"/>
      <c r="U490" s="12">
        <v>1</v>
      </c>
      <c r="V490" s="12"/>
      <c r="W490" s="12">
        <v>1</v>
      </c>
    </row>
    <row r="491" spans="19:23" x14ac:dyDescent="0.35">
      <c r="S491" s="6">
        <v>46201.760416666664</v>
      </c>
      <c r="T491" s="12"/>
      <c r="U491" s="12">
        <v>1</v>
      </c>
      <c r="V491" s="12"/>
      <c r="W491" s="12">
        <v>1</v>
      </c>
    </row>
    <row r="492" spans="19:23" x14ac:dyDescent="0.35">
      <c r="S492" s="6">
        <v>46202.375</v>
      </c>
      <c r="T492" s="12"/>
      <c r="U492" s="12">
        <v>1</v>
      </c>
      <c r="V492" s="12"/>
      <c r="W492" s="12">
        <v>1</v>
      </c>
    </row>
    <row r="493" spans="19:23" x14ac:dyDescent="0.35">
      <c r="S493" s="6">
        <v>46202.427083333336</v>
      </c>
      <c r="T493" s="12"/>
      <c r="U493" s="12">
        <v>1</v>
      </c>
      <c r="V493" s="12"/>
      <c r="W493" s="12">
        <v>1</v>
      </c>
    </row>
    <row r="494" spans="19:23" x14ac:dyDescent="0.35">
      <c r="S494" s="6" t="s">
        <v>762</v>
      </c>
      <c r="T494" s="12">
        <v>79</v>
      </c>
      <c r="U494" s="12">
        <v>336</v>
      </c>
      <c r="V494" s="12">
        <v>82</v>
      </c>
      <c r="W494" s="12">
        <v>497</v>
      </c>
    </row>
  </sheetData>
  <pageMargins left="0.7" right="0.7" top="0.75" bottom="0.75" header="0.3" footer="0.3"/>
  <drawing r:id="rId16"/>
  <tableParts count="2"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9"/>
  <sheetViews>
    <sheetView zoomScale="115" zoomScaleNormal="115" workbookViewId="0">
      <pane ySplit="1" topLeftCell="A2" activePane="bottomLeft" state="frozen"/>
      <selection pane="bottomLeft" activeCell="C13" sqref="C13"/>
    </sheetView>
  </sheetViews>
  <sheetFormatPr defaultRowHeight="14.5" x14ac:dyDescent="0.35"/>
  <cols>
    <col min="1" max="1" width="19.7265625" customWidth="1"/>
    <col min="2" max="2" width="14" customWidth="1"/>
    <col min="3" max="3" width="27.7265625" style="4" bestFit="1" customWidth="1"/>
    <col min="4" max="4" width="16" customWidth="1"/>
    <col min="5" max="5" width="20" customWidth="1"/>
    <col min="6" max="7" width="14" customWidth="1"/>
    <col min="8" max="8" width="17" customWidth="1"/>
    <col min="9" max="9" width="12" customWidth="1"/>
    <col min="10" max="10" width="15" customWidth="1"/>
    <col min="11" max="11" width="22.81640625" bestFit="1" customWidth="1"/>
    <col min="12" max="12" width="20.26953125" bestFit="1" customWidth="1"/>
  </cols>
  <sheetData>
    <row r="1" spans="1:12" x14ac:dyDescent="0.35">
      <c r="A1" s="2" t="s">
        <v>0</v>
      </c>
      <c r="B1" s="2" t="s">
        <v>1</v>
      </c>
      <c r="C1" s="5" t="s">
        <v>2</v>
      </c>
      <c r="D1" s="2" t="s">
        <v>3</v>
      </c>
      <c r="E1" s="7" t="s">
        <v>4</v>
      </c>
      <c r="F1" s="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775</v>
      </c>
      <c r="L1" s="2" t="s">
        <v>783</v>
      </c>
    </row>
    <row r="2" spans="1:12" x14ac:dyDescent="0.35">
      <c r="A2" s="3" t="s">
        <v>10</v>
      </c>
      <c r="B2" s="3" t="s">
        <v>11</v>
      </c>
      <c r="C2" s="6">
        <v>46093.46875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40</v>
      </c>
      <c r="I2" s="3">
        <v>1000</v>
      </c>
      <c r="J2" s="3" t="s">
        <v>16</v>
      </c>
      <c r="K2" s="3" t="str">
        <f>TEXT(C2,"dddd")</f>
        <v>Thursday</v>
      </c>
      <c r="L2" s="3" t="str">
        <f>IF(HOUR(C2)&lt;11,"Morning",IF(HOUR(C2)&lt;14,"Afternoon",IF(HOUR(C2)&lt;17,"Evening","Late Evening")))</f>
        <v>Afternoon</v>
      </c>
    </row>
    <row r="3" spans="1:12" x14ac:dyDescent="0.35">
      <c r="A3" s="3" t="s">
        <v>17</v>
      </c>
      <c r="B3" s="3" t="s">
        <v>18</v>
      </c>
      <c r="C3" s="6">
        <v>46046.46875</v>
      </c>
      <c r="D3" s="3" t="s">
        <v>12</v>
      </c>
      <c r="E3" s="3" t="s">
        <v>24</v>
      </c>
      <c r="F3" s="3" t="s">
        <v>19</v>
      </c>
      <c r="G3" s="3" t="s">
        <v>20</v>
      </c>
      <c r="H3" s="3">
        <v>0</v>
      </c>
      <c r="I3" s="3">
        <v>900</v>
      </c>
      <c r="J3" s="3" t="s">
        <v>16</v>
      </c>
      <c r="K3" s="3" t="str">
        <f t="shared" ref="K3:K66" si="0">TEXT(C3,"dddd")</f>
        <v>Saturday</v>
      </c>
      <c r="L3" s="3" t="str">
        <f t="shared" ref="L3:L66" si="1">IF(HOUR(C3)&lt;11,"Morning",IF(HOUR(C3)&lt;14,"Afternoon",IF(HOUR(C3)&lt;17,"Evening","Late Evening")))</f>
        <v>Afternoon</v>
      </c>
    </row>
    <row r="4" spans="1:12" x14ac:dyDescent="0.35">
      <c r="A4" s="3" t="s">
        <v>21</v>
      </c>
      <c r="B4" s="3" t="s">
        <v>22</v>
      </c>
      <c r="C4" s="6">
        <v>46173.5</v>
      </c>
      <c r="D4" s="3" t="s">
        <v>23</v>
      </c>
      <c r="E4" s="3" t="s">
        <v>24</v>
      </c>
      <c r="F4" s="3" t="s">
        <v>25</v>
      </c>
      <c r="G4" s="3" t="s">
        <v>15</v>
      </c>
      <c r="H4" s="3">
        <v>28</v>
      </c>
      <c r="I4" s="3">
        <v>900</v>
      </c>
      <c r="J4" s="3" t="s">
        <v>26</v>
      </c>
      <c r="K4" s="3" t="str">
        <f t="shared" si="0"/>
        <v>Sunday</v>
      </c>
      <c r="L4" s="3" t="str">
        <f t="shared" si="1"/>
        <v>Afternoon</v>
      </c>
    </row>
    <row r="5" spans="1:12" x14ac:dyDescent="0.35">
      <c r="A5" s="3" t="s">
        <v>27</v>
      </c>
      <c r="B5" s="3" t="s">
        <v>28</v>
      </c>
      <c r="C5" s="6">
        <v>46049.40625</v>
      </c>
      <c r="D5" s="3" t="s">
        <v>23</v>
      </c>
      <c r="E5" s="3" t="s">
        <v>13</v>
      </c>
      <c r="F5" s="3" t="s">
        <v>25</v>
      </c>
      <c r="G5" s="3" t="s">
        <v>15</v>
      </c>
      <c r="H5" s="3">
        <v>37</v>
      </c>
      <c r="I5" s="3">
        <v>800</v>
      </c>
      <c r="J5" s="3" t="s">
        <v>16</v>
      </c>
      <c r="K5" s="3" t="str">
        <f t="shared" si="0"/>
        <v>Tuesday</v>
      </c>
      <c r="L5" s="3" t="str">
        <f t="shared" si="1"/>
        <v>Morning</v>
      </c>
    </row>
    <row r="6" spans="1:12" x14ac:dyDescent="0.35">
      <c r="A6" s="3" t="s">
        <v>29</v>
      </c>
      <c r="B6" s="3" t="s">
        <v>30</v>
      </c>
      <c r="C6" s="6">
        <v>46160.40625</v>
      </c>
      <c r="D6" s="3" t="s">
        <v>31</v>
      </c>
      <c r="E6" s="3" t="s">
        <v>13</v>
      </c>
      <c r="F6" s="3" t="s">
        <v>25</v>
      </c>
      <c r="G6" s="3" t="s">
        <v>15</v>
      </c>
      <c r="H6" s="3">
        <v>53</v>
      </c>
      <c r="I6" s="3">
        <v>900</v>
      </c>
      <c r="J6" s="3" t="s">
        <v>26</v>
      </c>
      <c r="K6" s="3" t="str">
        <f t="shared" si="0"/>
        <v>Monday</v>
      </c>
      <c r="L6" s="3" t="str">
        <f t="shared" si="1"/>
        <v>Morning</v>
      </c>
    </row>
    <row r="7" spans="1:12" x14ac:dyDescent="0.35">
      <c r="A7" s="3" t="s">
        <v>32</v>
      </c>
      <c r="B7" s="3" t="s">
        <v>33</v>
      </c>
      <c r="C7" s="6">
        <v>46192.479166666664</v>
      </c>
      <c r="D7" s="3" t="s">
        <v>12</v>
      </c>
      <c r="E7" s="3" t="s">
        <v>37</v>
      </c>
      <c r="F7" s="3" t="s">
        <v>14</v>
      </c>
      <c r="G7" s="3" t="s">
        <v>15</v>
      </c>
      <c r="H7" s="3">
        <v>32</v>
      </c>
      <c r="I7" s="3">
        <v>1000</v>
      </c>
      <c r="J7" s="3" t="s">
        <v>16</v>
      </c>
      <c r="K7" s="3" t="str">
        <f t="shared" si="0"/>
        <v>Friday</v>
      </c>
      <c r="L7" s="3" t="str">
        <f t="shared" si="1"/>
        <v>Afternoon</v>
      </c>
    </row>
    <row r="8" spans="1:12" x14ac:dyDescent="0.35">
      <c r="A8" s="3" t="s">
        <v>34</v>
      </c>
      <c r="B8" s="3" t="s">
        <v>35</v>
      </c>
      <c r="C8" s="6">
        <v>46185.59375</v>
      </c>
      <c r="D8" s="3" t="s">
        <v>36</v>
      </c>
      <c r="E8" s="3" t="s">
        <v>41</v>
      </c>
      <c r="F8" s="3" t="s">
        <v>25</v>
      </c>
      <c r="G8" s="3" t="s">
        <v>15</v>
      </c>
      <c r="H8" s="3">
        <v>19</v>
      </c>
      <c r="I8" s="3">
        <v>600</v>
      </c>
      <c r="J8" s="3" t="s">
        <v>26</v>
      </c>
      <c r="K8" s="3" t="str">
        <f t="shared" si="0"/>
        <v>Friday</v>
      </c>
      <c r="L8" s="3" t="str">
        <f t="shared" si="1"/>
        <v>Evening</v>
      </c>
    </row>
    <row r="9" spans="1:12" x14ac:dyDescent="0.35">
      <c r="A9" s="3" t="s">
        <v>38</v>
      </c>
      <c r="B9" s="3" t="s">
        <v>39</v>
      </c>
      <c r="C9" s="6">
        <v>46159.46875</v>
      </c>
      <c r="D9" s="3" t="s">
        <v>40</v>
      </c>
      <c r="E9" s="3" t="s">
        <v>13</v>
      </c>
      <c r="F9" s="3" t="s">
        <v>19</v>
      </c>
      <c r="G9" s="3" t="s">
        <v>15</v>
      </c>
      <c r="H9" s="3">
        <v>46</v>
      </c>
      <c r="I9" s="3">
        <v>600</v>
      </c>
      <c r="J9" s="3" t="s">
        <v>16</v>
      </c>
      <c r="K9" s="3" t="str">
        <f t="shared" si="0"/>
        <v>Sunday</v>
      </c>
      <c r="L9" s="3" t="str">
        <f t="shared" si="1"/>
        <v>Afternoon</v>
      </c>
    </row>
    <row r="10" spans="1:12" x14ac:dyDescent="0.35">
      <c r="A10" s="3" t="s">
        <v>42</v>
      </c>
      <c r="B10" s="3" t="s">
        <v>43</v>
      </c>
      <c r="C10" s="6">
        <v>46031.614583333343</v>
      </c>
      <c r="D10" s="3" t="s">
        <v>12</v>
      </c>
      <c r="E10" s="3" t="s">
        <v>47</v>
      </c>
      <c r="F10" s="3" t="s">
        <v>25</v>
      </c>
      <c r="G10" s="3" t="s">
        <v>15</v>
      </c>
      <c r="H10" s="3">
        <v>44</v>
      </c>
      <c r="I10" s="3">
        <v>1000</v>
      </c>
      <c r="J10" s="3" t="s">
        <v>26</v>
      </c>
      <c r="K10" s="3" t="str">
        <f t="shared" si="0"/>
        <v>Friday</v>
      </c>
      <c r="L10" s="3" t="str">
        <f t="shared" si="1"/>
        <v>Evening</v>
      </c>
    </row>
    <row r="11" spans="1:12" x14ac:dyDescent="0.35">
      <c r="A11" s="3" t="s">
        <v>44</v>
      </c>
      <c r="B11" s="3" t="s">
        <v>45</v>
      </c>
      <c r="C11" s="6">
        <v>46187.677083333343</v>
      </c>
      <c r="D11" s="3" t="s">
        <v>46</v>
      </c>
      <c r="E11" s="3" t="s">
        <v>41</v>
      </c>
      <c r="F11" s="3" t="s">
        <v>25</v>
      </c>
      <c r="G11" s="3" t="s">
        <v>15</v>
      </c>
      <c r="H11" s="3">
        <v>19</v>
      </c>
      <c r="I11" s="3">
        <v>700</v>
      </c>
      <c r="J11" s="3" t="s">
        <v>16</v>
      </c>
      <c r="K11" s="3" t="str">
        <f t="shared" si="0"/>
        <v>Sunday</v>
      </c>
      <c r="L11" s="3" t="str">
        <f t="shared" si="1"/>
        <v>Evening</v>
      </c>
    </row>
    <row r="12" spans="1:12" x14ac:dyDescent="0.35">
      <c r="A12" s="3" t="s">
        <v>48</v>
      </c>
      <c r="B12" s="3" t="s">
        <v>49</v>
      </c>
      <c r="C12" s="6">
        <v>46115.46875</v>
      </c>
      <c r="D12" s="3" t="s">
        <v>50</v>
      </c>
      <c r="E12" s="3" t="s">
        <v>24</v>
      </c>
      <c r="F12" s="3" t="s">
        <v>14</v>
      </c>
      <c r="G12" s="3" t="s">
        <v>20</v>
      </c>
      <c r="H12" s="3">
        <v>0</v>
      </c>
      <c r="I12" s="3">
        <v>600</v>
      </c>
      <c r="J12" s="3" t="s">
        <v>26</v>
      </c>
      <c r="K12" s="3" t="str">
        <f t="shared" si="0"/>
        <v>Friday</v>
      </c>
      <c r="L12" s="3" t="str">
        <f t="shared" si="1"/>
        <v>Afternoon</v>
      </c>
    </row>
    <row r="13" spans="1:12" x14ac:dyDescent="0.35">
      <c r="A13" s="3" t="s">
        <v>51</v>
      </c>
      <c r="B13" s="3" t="s">
        <v>52</v>
      </c>
      <c r="C13" s="6">
        <v>46197.625</v>
      </c>
      <c r="D13" s="3" t="s">
        <v>53</v>
      </c>
      <c r="E13" s="3" t="s">
        <v>41</v>
      </c>
      <c r="F13" s="3" t="s">
        <v>54</v>
      </c>
      <c r="G13" s="3" t="s">
        <v>15</v>
      </c>
      <c r="H13" s="3">
        <v>36</v>
      </c>
      <c r="I13" s="3">
        <v>900</v>
      </c>
      <c r="J13" s="3" t="s">
        <v>16</v>
      </c>
      <c r="K13" s="3" t="str">
        <f t="shared" si="0"/>
        <v>Wednesday</v>
      </c>
      <c r="L13" s="3" t="str">
        <f t="shared" si="1"/>
        <v>Evening</v>
      </c>
    </row>
    <row r="14" spans="1:12" x14ac:dyDescent="0.35">
      <c r="A14" s="3" t="s">
        <v>55</v>
      </c>
      <c r="B14" s="3" t="s">
        <v>56</v>
      </c>
      <c r="C14" s="6">
        <v>46197.395833333343</v>
      </c>
      <c r="D14" s="3" t="s">
        <v>40</v>
      </c>
      <c r="E14" s="3" t="s">
        <v>24</v>
      </c>
      <c r="F14" s="3" t="s">
        <v>25</v>
      </c>
      <c r="G14" s="3" t="s">
        <v>57</v>
      </c>
      <c r="H14" s="3">
        <v>0</v>
      </c>
      <c r="I14" s="3">
        <v>500</v>
      </c>
      <c r="J14" s="3" t="s">
        <v>16</v>
      </c>
      <c r="K14" s="3" t="str">
        <f t="shared" si="0"/>
        <v>Wednesday</v>
      </c>
      <c r="L14" s="3" t="str">
        <f t="shared" si="1"/>
        <v>Morning</v>
      </c>
    </row>
    <row r="15" spans="1:12" x14ac:dyDescent="0.35">
      <c r="A15" s="3" t="s">
        <v>58</v>
      </c>
      <c r="B15" s="3" t="s">
        <v>59</v>
      </c>
      <c r="C15" s="6">
        <v>46023.510416666657</v>
      </c>
      <c r="D15" s="3" t="s">
        <v>23</v>
      </c>
      <c r="E15" s="3" t="s">
        <v>24</v>
      </c>
      <c r="F15" s="3" t="s">
        <v>25</v>
      </c>
      <c r="G15" s="3" t="s">
        <v>20</v>
      </c>
      <c r="H15" s="3">
        <v>0</v>
      </c>
      <c r="I15" s="3">
        <v>800</v>
      </c>
      <c r="J15" s="3" t="s">
        <v>26</v>
      </c>
      <c r="K15" s="3" t="str">
        <f t="shared" si="0"/>
        <v>Thursday</v>
      </c>
      <c r="L15" s="3" t="str">
        <f t="shared" si="1"/>
        <v>Afternoon</v>
      </c>
    </row>
    <row r="16" spans="1:12" x14ac:dyDescent="0.35">
      <c r="A16" s="3" t="s">
        <v>60</v>
      </c>
      <c r="B16" s="3" t="s">
        <v>61</v>
      </c>
      <c r="C16" s="6">
        <v>46064.708333333343</v>
      </c>
      <c r="D16" s="3" t="s">
        <v>23</v>
      </c>
      <c r="E16" s="3" t="s">
        <v>37</v>
      </c>
      <c r="F16" s="3" t="s">
        <v>14</v>
      </c>
      <c r="G16" s="3" t="s">
        <v>20</v>
      </c>
      <c r="H16" s="3">
        <v>0</v>
      </c>
      <c r="I16" s="3">
        <v>800</v>
      </c>
      <c r="J16" s="3" t="s">
        <v>26</v>
      </c>
      <c r="K16" s="3" t="str">
        <f t="shared" si="0"/>
        <v>Wednesday</v>
      </c>
      <c r="L16" s="3" t="str">
        <f t="shared" si="1"/>
        <v>Late Evening</v>
      </c>
    </row>
    <row r="17" spans="1:12" x14ac:dyDescent="0.35">
      <c r="A17" s="3" t="s">
        <v>62</v>
      </c>
      <c r="B17" s="3" t="s">
        <v>63</v>
      </c>
      <c r="C17" s="6">
        <v>46084.34375</v>
      </c>
      <c r="D17" s="3" t="s">
        <v>36</v>
      </c>
      <c r="E17" s="3" t="s">
        <v>41</v>
      </c>
      <c r="F17" s="3" t="s">
        <v>54</v>
      </c>
      <c r="G17" s="3" t="s">
        <v>20</v>
      </c>
      <c r="H17" s="3">
        <v>0</v>
      </c>
      <c r="I17" s="3">
        <v>600</v>
      </c>
      <c r="J17" s="3" t="s">
        <v>26</v>
      </c>
      <c r="K17" s="3" t="str">
        <f t="shared" si="0"/>
        <v>Tuesday</v>
      </c>
      <c r="L17" s="3" t="str">
        <f t="shared" si="1"/>
        <v>Morning</v>
      </c>
    </row>
    <row r="18" spans="1:12" x14ac:dyDescent="0.35">
      <c r="A18" s="3" t="s">
        <v>64</v>
      </c>
      <c r="B18" s="3" t="s">
        <v>65</v>
      </c>
      <c r="C18" s="6">
        <v>46055.677083333343</v>
      </c>
      <c r="D18" s="3" t="s">
        <v>40</v>
      </c>
      <c r="E18" s="3" t="s">
        <v>41</v>
      </c>
      <c r="F18" s="3" t="s">
        <v>54</v>
      </c>
      <c r="G18" s="3" t="s">
        <v>15</v>
      </c>
      <c r="H18" s="3">
        <v>22</v>
      </c>
      <c r="I18" s="3">
        <v>400</v>
      </c>
      <c r="J18" s="3" t="s">
        <v>26</v>
      </c>
      <c r="K18" s="3" t="str">
        <f t="shared" si="0"/>
        <v>Monday</v>
      </c>
      <c r="L18" s="3" t="str">
        <f t="shared" si="1"/>
        <v>Evening</v>
      </c>
    </row>
    <row r="19" spans="1:12" x14ac:dyDescent="0.35">
      <c r="A19" s="3" t="s">
        <v>66</v>
      </c>
      <c r="B19" s="3" t="s">
        <v>67</v>
      </c>
      <c r="C19" s="6">
        <v>46102.645833333343</v>
      </c>
      <c r="D19" s="3" t="s">
        <v>40</v>
      </c>
      <c r="E19" s="3" t="s">
        <v>24</v>
      </c>
      <c r="F19" s="3" t="s">
        <v>14</v>
      </c>
      <c r="G19" s="3" t="s">
        <v>15</v>
      </c>
      <c r="H19" s="3">
        <v>22</v>
      </c>
      <c r="I19" s="3">
        <v>400</v>
      </c>
      <c r="J19" s="3" t="s">
        <v>26</v>
      </c>
      <c r="K19" s="3" t="str">
        <f t="shared" si="0"/>
        <v>Saturday</v>
      </c>
      <c r="L19" s="3" t="str">
        <f t="shared" si="1"/>
        <v>Evening</v>
      </c>
    </row>
    <row r="20" spans="1:12" x14ac:dyDescent="0.35">
      <c r="A20" s="3" t="s">
        <v>68</v>
      </c>
      <c r="B20" s="3" t="s">
        <v>69</v>
      </c>
      <c r="C20" s="6">
        <v>46109.34375</v>
      </c>
      <c r="D20" s="3" t="s">
        <v>53</v>
      </c>
      <c r="E20" s="3" t="s">
        <v>24</v>
      </c>
      <c r="F20" s="3" t="s">
        <v>14</v>
      </c>
      <c r="G20" s="3" t="s">
        <v>20</v>
      </c>
      <c r="H20" s="3">
        <v>0</v>
      </c>
      <c r="I20" s="3">
        <v>800</v>
      </c>
      <c r="J20" s="3" t="s">
        <v>26</v>
      </c>
      <c r="K20" s="3" t="str">
        <f t="shared" si="0"/>
        <v>Saturday</v>
      </c>
      <c r="L20" s="3" t="str">
        <f t="shared" si="1"/>
        <v>Morning</v>
      </c>
    </row>
    <row r="21" spans="1:12" x14ac:dyDescent="0.35">
      <c r="A21" s="3" t="s">
        <v>70</v>
      </c>
      <c r="B21" s="3" t="s">
        <v>71</v>
      </c>
      <c r="C21" s="6">
        <v>46031.583333333343</v>
      </c>
      <c r="D21" s="3" t="s">
        <v>53</v>
      </c>
      <c r="E21" s="3" t="s">
        <v>41</v>
      </c>
      <c r="F21" s="3" t="s">
        <v>54</v>
      </c>
      <c r="G21" s="3" t="s">
        <v>20</v>
      </c>
      <c r="H21" s="3">
        <v>0</v>
      </c>
      <c r="I21" s="3">
        <v>800</v>
      </c>
      <c r="J21" s="3" t="s">
        <v>26</v>
      </c>
      <c r="K21" s="3" t="str">
        <f t="shared" si="0"/>
        <v>Friday</v>
      </c>
      <c r="L21" s="3" t="str">
        <f t="shared" si="1"/>
        <v>Evening</v>
      </c>
    </row>
    <row r="22" spans="1:12" x14ac:dyDescent="0.35">
      <c r="A22" s="3" t="s">
        <v>72</v>
      </c>
      <c r="B22" s="3" t="s">
        <v>73</v>
      </c>
      <c r="C22" s="6">
        <v>46169.78125</v>
      </c>
      <c r="D22" s="3" t="s">
        <v>40</v>
      </c>
      <c r="E22" s="3" t="s">
        <v>13</v>
      </c>
      <c r="F22" s="3" t="s">
        <v>54</v>
      </c>
      <c r="G22" s="3" t="s">
        <v>15</v>
      </c>
      <c r="H22" s="3">
        <v>30</v>
      </c>
      <c r="I22" s="3">
        <v>600</v>
      </c>
      <c r="J22" s="3" t="s">
        <v>26</v>
      </c>
      <c r="K22" s="3" t="str">
        <f t="shared" si="0"/>
        <v>Wednesday</v>
      </c>
      <c r="L22" s="3" t="str">
        <f t="shared" si="1"/>
        <v>Late Evening</v>
      </c>
    </row>
    <row r="23" spans="1:12" x14ac:dyDescent="0.35">
      <c r="A23" s="3" t="s">
        <v>74</v>
      </c>
      <c r="B23" s="3" t="s">
        <v>75</v>
      </c>
      <c r="C23" s="6">
        <v>46191.645833333343</v>
      </c>
      <c r="D23" s="3" t="s">
        <v>12</v>
      </c>
      <c r="E23" s="3" t="s">
        <v>13</v>
      </c>
      <c r="F23" s="3" t="s">
        <v>14</v>
      </c>
      <c r="G23" s="3" t="s">
        <v>15</v>
      </c>
      <c r="H23" s="3">
        <v>12</v>
      </c>
      <c r="I23" s="3">
        <v>1100</v>
      </c>
      <c r="J23" s="3" t="s">
        <v>26</v>
      </c>
      <c r="K23" s="3" t="str">
        <f t="shared" si="0"/>
        <v>Thursday</v>
      </c>
      <c r="L23" s="3" t="str">
        <f t="shared" si="1"/>
        <v>Evening</v>
      </c>
    </row>
    <row r="24" spans="1:12" x14ac:dyDescent="0.35">
      <c r="A24" s="3" t="s">
        <v>76</v>
      </c>
      <c r="B24" s="3" t="s">
        <v>77</v>
      </c>
      <c r="C24" s="6">
        <v>46109.385416666657</v>
      </c>
      <c r="D24" s="3" t="s">
        <v>31</v>
      </c>
      <c r="E24" s="3" t="s">
        <v>47</v>
      </c>
      <c r="F24" s="3" t="s">
        <v>54</v>
      </c>
      <c r="G24" s="3" t="s">
        <v>15</v>
      </c>
      <c r="H24" s="3">
        <v>14</v>
      </c>
      <c r="I24" s="3">
        <v>1000</v>
      </c>
      <c r="J24" s="3" t="s">
        <v>26</v>
      </c>
      <c r="K24" s="3" t="str">
        <f t="shared" si="0"/>
        <v>Saturday</v>
      </c>
      <c r="L24" s="3" t="str">
        <f t="shared" si="1"/>
        <v>Morning</v>
      </c>
    </row>
    <row r="25" spans="1:12" x14ac:dyDescent="0.35">
      <c r="A25" s="3" t="s">
        <v>78</v>
      </c>
      <c r="B25" s="3" t="s">
        <v>73</v>
      </c>
      <c r="C25" s="6">
        <v>46094.677083333343</v>
      </c>
      <c r="D25" s="3" t="s">
        <v>79</v>
      </c>
      <c r="E25" s="3" t="s">
        <v>41</v>
      </c>
      <c r="F25" s="3" t="s">
        <v>14</v>
      </c>
      <c r="G25" s="3" t="s">
        <v>15</v>
      </c>
      <c r="H25" s="3">
        <v>18</v>
      </c>
      <c r="I25" s="3">
        <v>800</v>
      </c>
      <c r="J25" s="3" t="s">
        <v>26</v>
      </c>
      <c r="K25" s="3" t="str">
        <f t="shared" si="0"/>
        <v>Friday</v>
      </c>
      <c r="L25" s="3" t="str">
        <f t="shared" si="1"/>
        <v>Evening</v>
      </c>
    </row>
    <row r="26" spans="1:12" x14ac:dyDescent="0.35">
      <c r="A26" s="3" t="s">
        <v>80</v>
      </c>
      <c r="B26" s="3" t="s">
        <v>81</v>
      </c>
      <c r="C26" s="6">
        <v>46046.46875</v>
      </c>
      <c r="D26" s="3" t="s">
        <v>40</v>
      </c>
      <c r="E26" s="3" t="s">
        <v>13</v>
      </c>
      <c r="F26" s="3" t="s">
        <v>19</v>
      </c>
      <c r="G26" s="3" t="s">
        <v>15</v>
      </c>
      <c r="H26" s="3">
        <v>15</v>
      </c>
      <c r="I26" s="3">
        <v>600</v>
      </c>
      <c r="J26" s="3" t="s">
        <v>16</v>
      </c>
      <c r="K26" s="3" t="str">
        <f t="shared" si="0"/>
        <v>Saturday</v>
      </c>
      <c r="L26" s="3" t="str">
        <f t="shared" si="1"/>
        <v>Afternoon</v>
      </c>
    </row>
    <row r="27" spans="1:12" x14ac:dyDescent="0.35">
      <c r="A27" s="3" t="s">
        <v>82</v>
      </c>
      <c r="B27" s="3" t="s">
        <v>83</v>
      </c>
      <c r="C27" s="6">
        <v>46120.364583333343</v>
      </c>
      <c r="D27" s="3" t="s">
        <v>12</v>
      </c>
      <c r="E27" s="3" t="s">
        <v>24</v>
      </c>
      <c r="F27" s="3" t="s">
        <v>54</v>
      </c>
      <c r="G27" s="3" t="s">
        <v>15</v>
      </c>
      <c r="H27" s="3">
        <v>38</v>
      </c>
      <c r="I27" s="3">
        <v>1100</v>
      </c>
      <c r="J27" s="3" t="s">
        <v>16</v>
      </c>
      <c r="K27" s="3" t="str">
        <f t="shared" si="0"/>
        <v>Wednesday</v>
      </c>
      <c r="L27" s="3" t="str">
        <f t="shared" si="1"/>
        <v>Morning</v>
      </c>
    </row>
    <row r="28" spans="1:12" x14ac:dyDescent="0.35">
      <c r="A28" s="3" t="s">
        <v>84</v>
      </c>
      <c r="B28" s="3" t="s">
        <v>85</v>
      </c>
      <c r="C28" s="6">
        <v>46098.458333333343</v>
      </c>
      <c r="D28" s="3" t="s">
        <v>53</v>
      </c>
      <c r="E28" s="3" t="s">
        <v>13</v>
      </c>
      <c r="F28" s="3" t="s">
        <v>25</v>
      </c>
      <c r="G28" s="3" t="s">
        <v>20</v>
      </c>
      <c r="H28" s="3">
        <v>0</v>
      </c>
      <c r="I28" s="3">
        <v>700</v>
      </c>
      <c r="J28" s="3" t="s">
        <v>26</v>
      </c>
      <c r="K28" s="3" t="str">
        <f t="shared" si="0"/>
        <v>Tuesday</v>
      </c>
      <c r="L28" s="3" t="str">
        <f t="shared" si="1"/>
        <v>Afternoon</v>
      </c>
    </row>
    <row r="29" spans="1:12" x14ac:dyDescent="0.35">
      <c r="A29" s="3" t="s">
        <v>86</v>
      </c>
      <c r="B29" s="3" t="s">
        <v>87</v>
      </c>
      <c r="C29" s="6">
        <v>46151.71875</v>
      </c>
      <c r="D29" s="3" t="s">
        <v>31</v>
      </c>
      <c r="E29" s="3" t="s">
        <v>41</v>
      </c>
      <c r="F29" s="3" t="s">
        <v>19</v>
      </c>
      <c r="G29" s="3" t="s">
        <v>15</v>
      </c>
      <c r="H29" s="3">
        <v>24</v>
      </c>
      <c r="I29" s="3">
        <v>900</v>
      </c>
      <c r="J29" s="3" t="s">
        <v>26</v>
      </c>
      <c r="K29" s="3" t="str">
        <f t="shared" si="0"/>
        <v>Saturday</v>
      </c>
      <c r="L29" s="3" t="str">
        <f t="shared" si="1"/>
        <v>Late Evening</v>
      </c>
    </row>
    <row r="30" spans="1:12" x14ac:dyDescent="0.35">
      <c r="A30" s="3" t="s">
        <v>88</v>
      </c>
      <c r="B30" s="3" t="s">
        <v>45</v>
      </c>
      <c r="C30" s="6">
        <v>46195.489583333343</v>
      </c>
      <c r="D30" s="3" t="s">
        <v>40</v>
      </c>
      <c r="E30" s="3" t="s">
        <v>47</v>
      </c>
      <c r="F30" s="3" t="s">
        <v>14</v>
      </c>
      <c r="G30" s="3" t="s">
        <v>15</v>
      </c>
      <c r="H30" s="3">
        <v>11</v>
      </c>
      <c r="I30" s="3">
        <v>400</v>
      </c>
      <c r="J30" s="3" t="s">
        <v>26</v>
      </c>
      <c r="K30" s="3" t="str">
        <f t="shared" si="0"/>
        <v>Monday</v>
      </c>
      <c r="L30" s="3" t="str">
        <f t="shared" si="1"/>
        <v>Afternoon</v>
      </c>
    </row>
    <row r="31" spans="1:12" x14ac:dyDescent="0.35">
      <c r="A31" s="3" t="s">
        <v>89</v>
      </c>
      <c r="B31" s="3" t="s">
        <v>90</v>
      </c>
      <c r="C31" s="6">
        <v>46089.479166666657</v>
      </c>
      <c r="D31" s="3" t="s">
        <v>46</v>
      </c>
      <c r="E31" s="3" t="s">
        <v>47</v>
      </c>
      <c r="F31" s="3" t="s">
        <v>19</v>
      </c>
      <c r="G31" s="3" t="s">
        <v>15</v>
      </c>
      <c r="H31" s="3">
        <v>42</v>
      </c>
      <c r="I31" s="3">
        <v>700</v>
      </c>
      <c r="J31" s="3" t="s">
        <v>16</v>
      </c>
      <c r="K31" s="3" t="str">
        <f t="shared" si="0"/>
        <v>Sunday</v>
      </c>
      <c r="L31" s="3" t="str">
        <f t="shared" si="1"/>
        <v>Afternoon</v>
      </c>
    </row>
    <row r="32" spans="1:12" x14ac:dyDescent="0.35">
      <c r="A32" s="3" t="s">
        <v>91</v>
      </c>
      <c r="B32" s="3" t="s">
        <v>92</v>
      </c>
      <c r="C32" s="6">
        <v>46041.364583333343</v>
      </c>
      <c r="D32" s="3" t="s">
        <v>46</v>
      </c>
      <c r="E32" s="3" t="s">
        <v>41</v>
      </c>
      <c r="F32" s="3" t="s">
        <v>14</v>
      </c>
      <c r="G32" s="3" t="s">
        <v>20</v>
      </c>
      <c r="H32" s="3">
        <v>0</v>
      </c>
      <c r="I32" s="3">
        <v>600</v>
      </c>
      <c r="J32" s="3" t="s">
        <v>26</v>
      </c>
      <c r="K32" s="3" t="str">
        <f t="shared" si="0"/>
        <v>Monday</v>
      </c>
      <c r="L32" s="3" t="str">
        <f t="shared" si="1"/>
        <v>Morning</v>
      </c>
    </row>
    <row r="33" spans="1:12" x14ac:dyDescent="0.35">
      <c r="A33" s="3" t="s">
        <v>93</v>
      </c>
      <c r="B33" s="3" t="s">
        <v>94</v>
      </c>
      <c r="C33" s="6">
        <v>46056.583333333343</v>
      </c>
      <c r="D33" s="3" t="s">
        <v>50</v>
      </c>
      <c r="E33" s="3" t="s">
        <v>41</v>
      </c>
      <c r="F33" s="3" t="s">
        <v>19</v>
      </c>
      <c r="G33" s="3" t="s">
        <v>15</v>
      </c>
      <c r="H33" s="3">
        <v>25</v>
      </c>
      <c r="I33" s="3">
        <v>500</v>
      </c>
      <c r="J33" s="3" t="s">
        <v>16</v>
      </c>
      <c r="K33" s="3" t="str">
        <f t="shared" si="0"/>
        <v>Tuesday</v>
      </c>
      <c r="L33" s="3" t="str">
        <f t="shared" si="1"/>
        <v>Evening</v>
      </c>
    </row>
    <row r="34" spans="1:12" x14ac:dyDescent="0.35">
      <c r="A34" s="3" t="s">
        <v>95</v>
      </c>
      <c r="B34" s="3" t="s">
        <v>96</v>
      </c>
      <c r="C34" s="6">
        <v>46179.708333333343</v>
      </c>
      <c r="D34" s="3" t="s">
        <v>50</v>
      </c>
      <c r="E34" s="3" t="s">
        <v>37</v>
      </c>
      <c r="F34" s="3" t="s">
        <v>14</v>
      </c>
      <c r="G34" s="3" t="s">
        <v>57</v>
      </c>
      <c r="H34" s="3">
        <v>0</v>
      </c>
      <c r="I34" s="3">
        <v>400</v>
      </c>
      <c r="J34" s="3" t="s">
        <v>26</v>
      </c>
      <c r="K34" s="3" t="str">
        <f t="shared" si="0"/>
        <v>Saturday</v>
      </c>
      <c r="L34" s="3" t="str">
        <f t="shared" si="1"/>
        <v>Late Evening</v>
      </c>
    </row>
    <row r="35" spans="1:12" x14ac:dyDescent="0.35">
      <c r="A35" s="3" t="s">
        <v>97</v>
      </c>
      <c r="B35" s="3" t="s">
        <v>98</v>
      </c>
      <c r="C35" s="6">
        <v>46050.71875</v>
      </c>
      <c r="D35" s="3" t="s">
        <v>99</v>
      </c>
      <c r="E35" s="3" t="s">
        <v>24</v>
      </c>
      <c r="F35" s="3" t="s">
        <v>19</v>
      </c>
      <c r="G35" s="3" t="s">
        <v>15</v>
      </c>
      <c r="H35" s="3">
        <v>22</v>
      </c>
      <c r="I35" s="3">
        <v>600</v>
      </c>
      <c r="J35" s="3" t="s">
        <v>16</v>
      </c>
      <c r="K35" s="3" t="str">
        <f t="shared" si="0"/>
        <v>Wednesday</v>
      </c>
      <c r="L35" s="3" t="str">
        <f t="shared" si="1"/>
        <v>Late Evening</v>
      </c>
    </row>
    <row r="36" spans="1:12" x14ac:dyDescent="0.35">
      <c r="A36" s="3" t="s">
        <v>100</v>
      </c>
      <c r="B36" s="3" t="s">
        <v>101</v>
      </c>
      <c r="C36" s="6">
        <v>46152.6875</v>
      </c>
      <c r="D36" s="3" t="s">
        <v>23</v>
      </c>
      <c r="E36" s="3" t="s">
        <v>13</v>
      </c>
      <c r="F36" s="3" t="s">
        <v>54</v>
      </c>
      <c r="G36" s="3" t="s">
        <v>15</v>
      </c>
      <c r="H36" s="3">
        <v>12</v>
      </c>
      <c r="I36" s="3">
        <v>800</v>
      </c>
      <c r="J36" s="3" t="s">
        <v>16</v>
      </c>
      <c r="K36" s="3" t="str">
        <f t="shared" si="0"/>
        <v>Sunday</v>
      </c>
      <c r="L36" s="3" t="str">
        <f t="shared" si="1"/>
        <v>Evening</v>
      </c>
    </row>
    <row r="37" spans="1:12" x14ac:dyDescent="0.35">
      <c r="A37" s="3" t="s">
        <v>102</v>
      </c>
      <c r="B37" s="3" t="s">
        <v>103</v>
      </c>
      <c r="C37" s="6">
        <v>46108.4375</v>
      </c>
      <c r="D37" s="3" t="s">
        <v>12</v>
      </c>
      <c r="E37" s="3" t="s">
        <v>13</v>
      </c>
      <c r="F37" s="3" t="s">
        <v>54</v>
      </c>
      <c r="G37" s="3" t="s">
        <v>15</v>
      </c>
      <c r="H37" s="3">
        <v>28</v>
      </c>
      <c r="I37" s="3">
        <v>1100</v>
      </c>
      <c r="J37" s="3" t="s">
        <v>26</v>
      </c>
      <c r="K37" s="3" t="str">
        <f t="shared" si="0"/>
        <v>Friday</v>
      </c>
      <c r="L37" s="3" t="str">
        <f t="shared" si="1"/>
        <v>Morning</v>
      </c>
    </row>
    <row r="38" spans="1:12" x14ac:dyDescent="0.35">
      <c r="A38" s="3" t="s">
        <v>104</v>
      </c>
      <c r="B38" s="3" t="s">
        <v>103</v>
      </c>
      <c r="C38" s="6">
        <v>46199.416666666657</v>
      </c>
      <c r="D38" s="3" t="s">
        <v>12</v>
      </c>
      <c r="E38" s="3" t="s">
        <v>37</v>
      </c>
      <c r="F38" s="3" t="s">
        <v>19</v>
      </c>
      <c r="G38" s="3" t="s">
        <v>15</v>
      </c>
      <c r="H38" s="3">
        <v>36</v>
      </c>
      <c r="I38" s="3">
        <v>900</v>
      </c>
      <c r="J38" s="3" t="s">
        <v>16</v>
      </c>
      <c r="K38" s="3" t="str">
        <f t="shared" si="0"/>
        <v>Friday</v>
      </c>
      <c r="L38" s="3" t="str">
        <f t="shared" si="1"/>
        <v>Morning</v>
      </c>
    </row>
    <row r="39" spans="1:12" x14ac:dyDescent="0.35">
      <c r="A39" s="3" t="s">
        <v>106</v>
      </c>
      <c r="B39" s="3" t="s">
        <v>107</v>
      </c>
      <c r="C39" s="6">
        <v>46181.427083333343</v>
      </c>
      <c r="D39" s="3" t="s">
        <v>36</v>
      </c>
      <c r="E39" s="3" t="s">
        <v>24</v>
      </c>
      <c r="F39" s="3" t="s">
        <v>54</v>
      </c>
      <c r="G39" s="3" t="s">
        <v>15</v>
      </c>
      <c r="H39" s="3">
        <v>26</v>
      </c>
      <c r="I39" s="3">
        <v>600</v>
      </c>
      <c r="J39" s="3" t="s">
        <v>26</v>
      </c>
      <c r="K39" s="3" t="str">
        <f t="shared" si="0"/>
        <v>Monday</v>
      </c>
      <c r="L39" s="3" t="str">
        <f t="shared" si="1"/>
        <v>Morning</v>
      </c>
    </row>
    <row r="40" spans="1:12" x14ac:dyDescent="0.35">
      <c r="A40" s="3" t="s">
        <v>108</v>
      </c>
      <c r="B40" s="3" t="s">
        <v>109</v>
      </c>
      <c r="C40" s="6">
        <v>46128.479166666657</v>
      </c>
      <c r="D40" s="3" t="s">
        <v>23</v>
      </c>
      <c r="E40" s="3" t="s">
        <v>24</v>
      </c>
      <c r="F40" s="3" t="s">
        <v>14</v>
      </c>
      <c r="G40" s="3" t="s">
        <v>15</v>
      </c>
      <c r="H40" s="3">
        <v>22</v>
      </c>
      <c r="I40" s="3">
        <v>800</v>
      </c>
      <c r="J40" s="3" t="s">
        <v>16</v>
      </c>
      <c r="K40" s="3" t="str">
        <f t="shared" si="0"/>
        <v>Thursday</v>
      </c>
      <c r="L40" s="3" t="str">
        <f t="shared" si="1"/>
        <v>Afternoon</v>
      </c>
    </row>
    <row r="41" spans="1:12" x14ac:dyDescent="0.35">
      <c r="A41" s="3" t="s">
        <v>110</v>
      </c>
      <c r="B41" s="3" t="s">
        <v>18</v>
      </c>
      <c r="C41" s="6">
        <v>46140.604166666657</v>
      </c>
      <c r="D41" s="3" t="s">
        <v>53</v>
      </c>
      <c r="E41" s="3" t="s">
        <v>37</v>
      </c>
      <c r="F41" s="3" t="s">
        <v>19</v>
      </c>
      <c r="G41" s="3" t="s">
        <v>15</v>
      </c>
      <c r="H41" s="3">
        <v>26</v>
      </c>
      <c r="I41" s="3">
        <v>800</v>
      </c>
      <c r="J41" s="3" t="s">
        <v>16</v>
      </c>
      <c r="K41" s="3" t="str">
        <f t="shared" si="0"/>
        <v>Tuesday</v>
      </c>
      <c r="L41" s="3" t="str">
        <f t="shared" si="1"/>
        <v>Evening</v>
      </c>
    </row>
    <row r="42" spans="1:12" x14ac:dyDescent="0.35">
      <c r="A42" s="3" t="s">
        <v>111</v>
      </c>
      <c r="B42" s="3" t="s">
        <v>112</v>
      </c>
      <c r="C42" s="6">
        <v>46040.520833333343</v>
      </c>
      <c r="D42" s="3" t="s">
        <v>36</v>
      </c>
      <c r="E42" s="3" t="s">
        <v>13</v>
      </c>
      <c r="F42" s="3" t="s">
        <v>25</v>
      </c>
      <c r="G42" s="3" t="s">
        <v>57</v>
      </c>
      <c r="H42" s="3">
        <v>0</v>
      </c>
      <c r="I42" s="3">
        <v>500</v>
      </c>
      <c r="J42" s="3" t="s">
        <v>26</v>
      </c>
      <c r="K42" s="3" t="str">
        <f t="shared" si="0"/>
        <v>Sunday</v>
      </c>
      <c r="L42" s="3" t="str">
        <f t="shared" si="1"/>
        <v>Afternoon</v>
      </c>
    </row>
    <row r="43" spans="1:12" x14ac:dyDescent="0.35">
      <c r="A43" s="3" t="s">
        <v>113</v>
      </c>
      <c r="B43" s="3" t="s">
        <v>52</v>
      </c>
      <c r="C43" s="6">
        <v>46068.770833333343</v>
      </c>
      <c r="D43" s="3" t="s">
        <v>31</v>
      </c>
      <c r="E43" s="3" t="s">
        <v>37</v>
      </c>
      <c r="F43" s="3" t="s">
        <v>54</v>
      </c>
      <c r="G43" s="3" t="s">
        <v>15</v>
      </c>
      <c r="H43" s="3">
        <v>27</v>
      </c>
      <c r="I43" s="3">
        <v>1000</v>
      </c>
      <c r="J43" s="3" t="s">
        <v>16</v>
      </c>
      <c r="K43" s="3" t="str">
        <f t="shared" si="0"/>
        <v>Sunday</v>
      </c>
      <c r="L43" s="3" t="str">
        <f t="shared" si="1"/>
        <v>Late Evening</v>
      </c>
    </row>
    <row r="44" spans="1:12" x14ac:dyDescent="0.35">
      <c r="A44" s="3" t="s">
        <v>114</v>
      </c>
      <c r="B44" s="3" t="s">
        <v>115</v>
      </c>
      <c r="C44" s="6">
        <v>46178.708333333343</v>
      </c>
      <c r="D44" s="3" t="s">
        <v>36</v>
      </c>
      <c r="E44" s="3" t="s">
        <v>47</v>
      </c>
      <c r="F44" s="3" t="s">
        <v>25</v>
      </c>
      <c r="G44" s="3" t="s">
        <v>15</v>
      </c>
      <c r="H44" s="3">
        <v>44</v>
      </c>
      <c r="I44" s="3">
        <v>500</v>
      </c>
      <c r="J44" s="3" t="s">
        <v>26</v>
      </c>
      <c r="K44" s="3" t="str">
        <f t="shared" si="0"/>
        <v>Friday</v>
      </c>
      <c r="L44" s="3" t="str">
        <f t="shared" si="1"/>
        <v>Late Evening</v>
      </c>
    </row>
    <row r="45" spans="1:12" x14ac:dyDescent="0.35">
      <c r="A45" s="3" t="s">
        <v>116</v>
      </c>
      <c r="B45" s="3" t="s">
        <v>117</v>
      </c>
      <c r="C45" s="6">
        <v>46156.71875</v>
      </c>
      <c r="D45" s="3" t="s">
        <v>79</v>
      </c>
      <c r="E45" s="3" t="s">
        <v>13</v>
      </c>
      <c r="F45" s="3" t="s">
        <v>25</v>
      </c>
      <c r="G45" s="3" t="s">
        <v>15</v>
      </c>
      <c r="H45" s="3">
        <v>24</v>
      </c>
      <c r="I45" s="3">
        <v>800</v>
      </c>
      <c r="J45" s="3" t="s">
        <v>16</v>
      </c>
      <c r="K45" s="3" t="str">
        <f t="shared" si="0"/>
        <v>Thursday</v>
      </c>
      <c r="L45" s="3" t="str">
        <f t="shared" si="1"/>
        <v>Late Evening</v>
      </c>
    </row>
    <row r="46" spans="1:12" x14ac:dyDescent="0.35">
      <c r="A46" s="3" t="s">
        <v>118</v>
      </c>
      <c r="B46" s="3" t="s">
        <v>119</v>
      </c>
      <c r="C46" s="6">
        <v>46152.53125</v>
      </c>
      <c r="D46" s="3" t="s">
        <v>31</v>
      </c>
      <c r="E46" s="3" t="s">
        <v>24</v>
      </c>
      <c r="F46" s="3" t="s">
        <v>25</v>
      </c>
      <c r="G46" s="3" t="s">
        <v>15</v>
      </c>
      <c r="H46" s="3">
        <v>22</v>
      </c>
      <c r="I46" s="3">
        <v>1100</v>
      </c>
      <c r="J46" s="3" t="s">
        <v>26</v>
      </c>
      <c r="K46" s="3" t="str">
        <f t="shared" si="0"/>
        <v>Sunday</v>
      </c>
      <c r="L46" s="3" t="str">
        <f t="shared" si="1"/>
        <v>Afternoon</v>
      </c>
    </row>
    <row r="47" spans="1:12" x14ac:dyDescent="0.35">
      <c r="A47" s="3" t="s">
        <v>120</v>
      </c>
      <c r="B47" s="3" t="s">
        <v>121</v>
      </c>
      <c r="C47" s="6">
        <v>46193.635416666657</v>
      </c>
      <c r="D47" s="3" t="s">
        <v>23</v>
      </c>
      <c r="E47" s="3" t="s">
        <v>37</v>
      </c>
      <c r="F47" s="3" t="s">
        <v>54</v>
      </c>
      <c r="G47" s="3" t="s">
        <v>20</v>
      </c>
      <c r="H47" s="3">
        <v>0</v>
      </c>
      <c r="I47" s="3">
        <v>700</v>
      </c>
      <c r="J47" s="3" t="s">
        <v>26</v>
      </c>
      <c r="K47" s="3" t="str">
        <f t="shared" si="0"/>
        <v>Saturday</v>
      </c>
      <c r="L47" s="3" t="str">
        <f t="shared" si="1"/>
        <v>Evening</v>
      </c>
    </row>
    <row r="48" spans="1:12" x14ac:dyDescent="0.35">
      <c r="A48" s="3" t="s">
        <v>122</v>
      </c>
      <c r="B48" s="3" t="s">
        <v>123</v>
      </c>
      <c r="C48" s="6">
        <v>46076.645833333343</v>
      </c>
      <c r="D48" s="3" t="s">
        <v>36</v>
      </c>
      <c r="E48" s="3" t="s">
        <v>24</v>
      </c>
      <c r="F48" s="3" t="s">
        <v>19</v>
      </c>
      <c r="G48" s="3" t="s">
        <v>15</v>
      </c>
      <c r="H48" s="3">
        <v>31</v>
      </c>
      <c r="I48" s="3">
        <v>700</v>
      </c>
      <c r="J48" s="3" t="s">
        <v>16</v>
      </c>
      <c r="K48" s="3" t="str">
        <f t="shared" si="0"/>
        <v>Monday</v>
      </c>
      <c r="L48" s="3" t="str">
        <f t="shared" si="1"/>
        <v>Evening</v>
      </c>
    </row>
    <row r="49" spans="1:12" x14ac:dyDescent="0.35">
      <c r="A49" s="3" t="s">
        <v>124</v>
      </c>
      <c r="B49" s="3" t="s">
        <v>125</v>
      </c>
      <c r="C49" s="6">
        <v>46095.729166666657</v>
      </c>
      <c r="D49" s="3" t="s">
        <v>53</v>
      </c>
      <c r="E49" s="3" t="s">
        <v>24</v>
      </c>
      <c r="F49" s="3" t="s">
        <v>25</v>
      </c>
      <c r="G49" s="3" t="s">
        <v>15</v>
      </c>
      <c r="H49" s="3">
        <v>15</v>
      </c>
      <c r="I49" s="3">
        <v>800</v>
      </c>
      <c r="J49" s="3" t="s">
        <v>26</v>
      </c>
      <c r="K49" s="3" t="str">
        <f t="shared" si="0"/>
        <v>Saturday</v>
      </c>
      <c r="L49" s="3" t="str">
        <f t="shared" si="1"/>
        <v>Late Evening</v>
      </c>
    </row>
    <row r="50" spans="1:12" x14ac:dyDescent="0.35">
      <c r="A50" s="3" t="s">
        <v>126</v>
      </c>
      <c r="B50" s="3" t="s">
        <v>127</v>
      </c>
      <c r="C50" s="6">
        <v>46029.34375</v>
      </c>
      <c r="D50" s="3" t="s">
        <v>53</v>
      </c>
      <c r="E50" s="3" t="s">
        <v>47</v>
      </c>
      <c r="F50" s="3" t="s">
        <v>14</v>
      </c>
      <c r="G50" s="3" t="s">
        <v>15</v>
      </c>
      <c r="H50" s="3">
        <v>32</v>
      </c>
      <c r="I50" s="3">
        <v>700</v>
      </c>
      <c r="J50" s="3" t="s">
        <v>16</v>
      </c>
      <c r="K50" s="3" t="str">
        <f t="shared" si="0"/>
        <v>Wednesday</v>
      </c>
      <c r="L50" s="3" t="str">
        <f t="shared" si="1"/>
        <v>Morning</v>
      </c>
    </row>
    <row r="51" spans="1:12" x14ac:dyDescent="0.35">
      <c r="A51" s="3" t="s">
        <v>128</v>
      </c>
      <c r="B51" s="3" t="s">
        <v>129</v>
      </c>
      <c r="C51" s="6">
        <v>46201.65625</v>
      </c>
      <c r="D51" s="3" t="s">
        <v>79</v>
      </c>
      <c r="E51" s="3" t="s">
        <v>47</v>
      </c>
      <c r="F51" s="3" t="s">
        <v>14</v>
      </c>
      <c r="G51" s="3" t="s">
        <v>15</v>
      </c>
      <c r="H51" s="3">
        <v>5</v>
      </c>
      <c r="I51" s="3">
        <v>700</v>
      </c>
      <c r="J51" s="3" t="s">
        <v>26</v>
      </c>
      <c r="K51" s="3" t="str">
        <f t="shared" si="0"/>
        <v>Sunday</v>
      </c>
      <c r="L51" s="3" t="str">
        <f t="shared" si="1"/>
        <v>Evening</v>
      </c>
    </row>
    <row r="52" spans="1:12" x14ac:dyDescent="0.35">
      <c r="A52" s="3" t="s">
        <v>130</v>
      </c>
      <c r="B52" s="3" t="s">
        <v>45</v>
      </c>
      <c r="C52" s="6">
        <v>46068.739583333343</v>
      </c>
      <c r="D52" s="3" t="s">
        <v>79</v>
      </c>
      <c r="E52" s="3" t="s">
        <v>24</v>
      </c>
      <c r="F52" s="3" t="s">
        <v>14</v>
      </c>
      <c r="G52" s="3" t="s">
        <v>15</v>
      </c>
      <c r="H52" s="3">
        <v>9</v>
      </c>
      <c r="I52" s="3">
        <v>600</v>
      </c>
      <c r="J52" s="3" t="s">
        <v>16</v>
      </c>
      <c r="K52" s="3" t="str">
        <f t="shared" si="0"/>
        <v>Sunday</v>
      </c>
      <c r="L52" s="3" t="str">
        <f t="shared" si="1"/>
        <v>Late Evening</v>
      </c>
    </row>
    <row r="53" spans="1:12" x14ac:dyDescent="0.35">
      <c r="A53" s="3" t="s">
        <v>131</v>
      </c>
      <c r="B53" s="3" t="s">
        <v>132</v>
      </c>
      <c r="C53" s="6">
        <v>46193.729166666657</v>
      </c>
      <c r="D53" s="3" t="s">
        <v>23</v>
      </c>
      <c r="E53" s="3" t="s">
        <v>24</v>
      </c>
      <c r="F53" s="3" t="s">
        <v>54</v>
      </c>
      <c r="G53" s="3" t="s">
        <v>15</v>
      </c>
      <c r="H53" s="3">
        <v>32</v>
      </c>
      <c r="I53" s="3">
        <v>700</v>
      </c>
      <c r="J53" s="3" t="s">
        <v>16</v>
      </c>
      <c r="K53" s="3" t="str">
        <f t="shared" si="0"/>
        <v>Saturday</v>
      </c>
      <c r="L53" s="3" t="str">
        <f t="shared" si="1"/>
        <v>Late Evening</v>
      </c>
    </row>
    <row r="54" spans="1:12" x14ac:dyDescent="0.35">
      <c r="A54" s="3" t="s">
        <v>133</v>
      </c>
      <c r="B54" s="3" t="s">
        <v>134</v>
      </c>
      <c r="C54" s="6">
        <v>46138.510416666657</v>
      </c>
      <c r="D54" s="3" t="s">
        <v>23</v>
      </c>
      <c r="E54" s="3" t="s">
        <v>37</v>
      </c>
      <c r="F54" s="3" t="s">
        <v>54</v>
      </c>
      <c r="G54" s="3" t="s">
        <v>57</v>
      </c>
      <c r="H54" s="3">
        <v>0</v>
      </c>
      <c r="I54" s="3">
        <v>800</v>
      </c>
      <c r="J54" s="3" t="s">
        <v>26</v>
      </c>
      <c r="K54" s="3" t="str">
        <f t="shared" si="0"/>
        <v>Sunday</v>
      </c>
      <c r="L54" s="3" t="str">
        <f t="shared" si="1"/>
        <v>Afternoon</v>
      </c>
    </row>
    <row r="55" spans="1:12" x14ac:dyDescent="0.35">
      <c r="A55" s="3" t="s">
        <v>135</v>
      </c>
      <c r="B55" s="3" t="s">
        <v>136</v>
      </c>
      <c r="C55" s="6">
        <v>46042.510416666657</v>
      </c>
      <c r="D55" s="3" t="s">
        <v>36</v>
      </c>
      <c r="E55" s="3" t="s">
        <v>24</v>
      </c>
      <c r="F55" s="3" t="s">
        <v>14</v>
      </c>
      <c r="G55" s="3" t="s">
        <v>15</v>
      </c>
      <c r="H55" s="3">
        <v>30</v>
      </c>
      <c r="I55" s="3">
        <v>600</v>
      </c>
      <c r="J55" s="3" t="s">
        <v>26</v>
      </c>
      <c r="K55" s="3" t="str">
        <f t="shared" si="0"/>
        <v>Tuesday</v>
      </c>
      <c r="L55" s="3" t="str">
        <f t="shared" si="1"/>
        <v>Afternoon</v>
      </c>
    </row>
    <row r="56" spans="1:12" x14ac:dyDescent="0.35">
      <c r="A56" s="3" t="s">
        <v>137</v>
      </c>
      <c r="B56" s="3" t="s">
        <v>138</v>
      </c>
      <c r="C56" s="6">
        <v>46121.427083333343</v>
      </c>
      <c r="D56" s="3" t="s">
        <v>53</v>
      </c>
      <c r="E56" s="3" t="s">
        <v>47</v>
      </c>
      <c r="F56" s="3" t="s">
        <v>25</v>
      </c>
      <c r="G56" s="3" t="s">
        <v>15</v>
      </c>
      <c r="H56" s="3">
        <v>32</v>
      </c>
      <c r="I56" s="3">
        <v>900</v>
      </c>
      <c r="J56" s="3" t="s">
        <v>16</v>
      </c>
      <c r="K56" s="3" t="str">
        <f t="shared" si="0"/>
        <v>Thursday</v>
      </c>
      <c r="L56" s="3" t="str">
        <f t="shared" si="1"/>
        <v>Morning</v>
      </c>
    </row>
    <row r="57" spans="1:12" x14ac:dyDescent="0.35">
      <c r="A57" s="3" t="s">
        <v>139</v>
      </c>
      <c r="B57" s="3" t="s">
        <v>140</v>
      </c>
      <c r="C57" s="6">
        <v>46075.65625</v>
      </c>
      <c r="D57" s="3" t="s">
        <v>79</v>
      </c>
      <c r="E57" s="3" t="s">
        <v>13</v>
      </c>
      <c r="F57" s="3" t="s">
        <v>54</v>
      </c>
      <c r="G57" s="3" t="s">
        <v>20</v>
      </c>
      <c r="H57" s="3">
        <v>0</v>
      </c>
      <c r="I57" s="3">
        <v>700</v>
      </c>
      <c r="J57" s="3" t="s">
        <v>16</v>
      </c>
      <c r="K57" s="3" t="str">
        <f t="shared" si="0"/>
        <v>Sunday</v>
      </c>
      <c r="L57" s="3" t="str">
        <f t="shared" si="1"/>
        <v>Evening</v>
      </c>
    </row>
    <row r="58" spans="1:12" x14ac:dyDescent="0.35">
      <c r="A58" s="3" t="s">
        <v>141</v>
      </c>
      <c r="B58" s="3" t="s">
        <v>142</v>
      </c>
      <c r="C58" s="6">
        <v>46099.65625</v>
      </c>
      <c r="D58" s="3" t="s">
        <v>31</v>
      </c>
      <c r="E58" s="3" t="s">
        <v>24</v>
      </c>
      <c r="F58" s="3" t="s">
        <v>19</v>
      </c>
      <c r="G58" s="3" t="s">
        <v>20</v>
      </c>
      <c r="H58" s="3">
        <v>0</v>
      </c>
      <c r="I58" s="3">
        <v>900</v>
      </c>
      <c r="J58" s="3" t="s">
        <v>16</v>
      </c>
      <c r="K58" s="3" t="str">
        <f t="shared" si="0"/>
        <v>Wednesday</v>
      </c>
      <c r="L58" s="3" t="str">
        <f t="shared" si="1"/>
        <v>Evening</v>
      </c>
    </row>
    <row r="59" spans="1:12" x14ac:dyDescent="0.35">
      <c r="A59" s="3" t="s">
        <v>143</v>
      </c>
      <c r="B59" s="3" t="s">
        <v>144</v>
      </c>
      <c r="C59" s="6">
        <v>46134.666666666657</v>
      </c>
      <c r="D59" s="3" t="s">
        <v>23</v>
      </c>
      <c r="E59" s="3" t="s">
        <v>47</v>
      </c>
      <c r="F59" s="3" t="s">
        <v>54</v>
      </c>
      <c r="G59" s="3" t="s">
        <v>15</v>
      </c>
      <c r="H59" s="3">
        <v>28</v>
      </c>
      <c r="I59" s="3">
        <v>800</v>
      </c>
      <c r="J59" s="3" t="s">
        <v>26</v>
      </c>
      <c r="K59" s="3" t="str">
        <f t="shared" si="0"/>
        <v>Wednesday</v>
      </c>
      <c r="L59" s="3" t="str">
        <f t="shared" si="1"/>
        <v>Evening</v>
      </c>
    </row>
    <row r="60" spans="1:12" x14ac:dyDescent="0.35">
      <c r="A60" s="3" t="s">
        <v>145</v>
      </c>
      <c r="B60" s="3" t="s">
        <v>146</v>
      </c>
      <c r="C60" s="6">
        <v>46182.708333333343</v>
      </c>
      <c r="D60" s="3" t="s">
        <v>79</v>
      </c>
      <c r="E60" s="3" t="s">
        <v>47</v>
      </c>
      <c r="F60" s="3" t="s">
        <v>14</v>
      </c>
      <c r="G60" s="3" t="s">
        <v>15</v>
      </c>
      <c r="H60" s="3">
        <v>21</v>
      </c>
      <c r="I60" s="3">
        <v>600</v>
      </c>
      <c r="J60" s="3" t="s">
        <v>26</v>
      </c>
      <c r="K60" s="3" t="str">
        <f t="shared" si="0"/>
        <v>Tuesday</v>
      </c>
      <c r="L60" s="3" t="str">
        <f t="shared" si="1"/>
        <v>Late Evening</v>
      </c>
    </row>
    <row r="61" spans="1:12" x14ac:dyDescent="0.35">
      <c r="A61" s="3" t="s">
        <v>147</v>
      </c>
      <c r="B61" s="3" t="s">
        <v>148</v>
      </c>
      <c r="C61" s="6">
        <v>46141.416666666657</v>
      </c>
      <c r="D61" s="3" t="s">
        <v>79</v>
      </c>
      <c r="E61" s="3" t="s">
        <v>37</v>
      </c>
      <c r="F61" s="3" t="s">
        <v>19</v>
      </c>
      <c r="G61" s="3" t="s">
        <v>15</v>
      </c>
      <c r="H61" s="3">
        <v>7</v>
      </c>
      <c r="I61" s="3">
        <v>800</v>
      </c>
      <c r="J61" s="3" t="s">
        <v>16</v>
      </c>
      <c r="K61" s="3" t="str">
        <f t="shared" si="0"/>
        <v>Wednesday</v>
      </c>
      <c r="L61" s="3" t="str">
        <f t="shared" si="1"/>
        <v>Morning</v>
      </c>
    </row>
    <row r="62" spans="1:12" x14ac:dyDescent="0.35">
      <c r="A62" s="3" t="s">
        <v>149</v>
      </c>
      <c r="B62" s="3" t="s">
        <v>150</v>
      </c>
      <c r="C62" s="6">
        <v>46120.53125</v>
      </c>
      <c r="D62" s="3" t="s">
        <v>36</v>
      </c>
      <c r="E62" s="3" t="s">
        <v>37</v>
      </c>
      <c r="F62" s="3" t="s">
        <v>14</v>
      </c>
      <c r="G62" s="3" t="s">
        <v>15</v>
      </c>
      <c r="H62" s="3">
        <v>13</v>
      </c>
      <c r="I62" s="3">
        <v>600</v>
      </c>
      <c r="J62" s="3" t="s">
        <v>26</v>
      </c>
      <c r="K62" s="3" t="str">
        <f t="shared" si="0"/>
        <v>Wednesday</v>
      </c>
      <c r="L62" s="3" t="str">
        <f t="shared" si="1"/>
        <v>Afternoon</v>
      </c>
    </row>
    <row r="63" spans="1:12" x14ac:dyDescent="0.35">
      <c r="A63" s="3" t="s">
        <v>151</v>
      </c>
      <c r="B63" s="3" t="s">
        <v>152</v>
      </c>
      <c r="C63" s="6">
        <v>46189.375</v>
      </c>
      <c r="D63" s="3" t="s">
        <v>99</v>
      </c>
      <c r="E63" s="3" t="s">
        <v>24</v>
      </c>
      <c r="F63" s="3" t="s">
        <v>14</v>
      </c>
      <c r="G63" s="3" t="s">
        <v>15</v>
      </c>
      <c r="H63" s="3">
        <v>16</v>
      </c>
      <c r="I63" s="3">
        <v>600</v>
      </c>
      <c r="J63" s="3" t="s">
        <v>26</v>
      </c>
      <c r="K63" s="3" t="str">
        <f t="shared" si="0"/>
        <v>Tuesday</v>
      </c>
      <c r="L63" s="3" t="str">
        <f t="shared" si="1"/>
        <v>Morning</v>
      </c>
    </row>
    <row r="64" spans="1:12" x14ac:dyDescent="0.35">
      <c r="A64" s="3" t="s">
        <v>153</v>
      </c>
      <c r="B64" s="3" t="s">
        <v>134</v>
      </c>
      <c r="C64" s="6">
        <v>46144.385416666657</v>
      </c>
      <c r="D64" s="3" t="s">
        <v>53</v>
      </c>
      <c r="E64" s="3" t="s">
        <v>41</v>
      </c>
      <c r="F64" s="3" t="s">
        <v>25</v>
      </c>
      <c r="G64" s="3" t="s">
        <v>15</v>
      </c>
      <c r="H64" s="3">
        <v>42</v>
      </c>
      <c r="I64" s="3">
        <v>800</v>
      </c>
      <c r="J64" s="3" t="s">
        <v>26</v>
      </c>
      <c r="K64" s="3" t="str">
        <f t="shared" si="0"/>
        <v>Saturday</v>
      </c>
      <c r="L64" s="3" t="str">
        <f t="shared" si="1"/>
        <v>Morning</v>
      </c>
    </row>
    <row r="65" spans="1:12" x14ac:dyDescent="0.35">
      <c r="A65" s="3" t="s">
        <v>154</v>
      </c>
      <c r="B65" s="3" t="s">
        <v>155</v>
      </c>
      <c r="C65" s="6">
        <v>46064.5</v>
      </c>
      <c r="D65" s="3" t="s">
        <v>40</v>
      </c>
      <c r="E65" s="3" t="s">
        <v>47</v>
      </c>
      <c r="F65" s="3" t="s">
        <v>25</v>
      </c>
      <c r="G65" s="3" t="s">
        <v>20</v>
      </c>
      <c r="H65" s="3">
        <v>0</v>
      </c>
      <c r="I65" s="3">
        <v>500</v>
      </c>
      <c r="J65" s="3" t="s">
        <v>756</v>
      </c>
      <c r="K65" s="3" t="str">
        <f t="shared" si="0"/>
        <v>Wednesday</v>
      </c>
      <c r="L65" s="3" t="str">
        <f t="shared" si="1"/>
        <v>Afternoon</v>
      </c>
    </row>
    <row r="66" spans="1:12" x14ac:dyDescent="0.35">
      <c r="A66" s="3" t="s">
        <v>156</v>
      </c>
      <c r="B66" s="3" t="s">
        <v>127</v>
      </c>
      <c r="C66" s="6">
        <v>46042.760416666657</v>
      </c>
      <c r="D66" s="3" t="s">
        <v>79</v>
      </c>
      <c r="E66" s="3" t="s">
        <v>37</v>
      </c>
      <c r="F66" s="3" t="s">
        <v>14</v>
      </c>
      <c r="G66" s="3" t="s">
        <v>15</v>
      </c>
      <c r="H66" s="3">
        <v>29</v>
      </c>
      <c r="I66" s="3">
        <v>700</v>
      </c>
      <c r="J66" s="3" t="s">
        <v>26</v>
      </c>
      <c r="K66" s="3" t="str">
        <f t="shared" si="0"/>
        <v>Tuesday</v>
      </c>
      <c r="L66" s="3" t="str">
        <f t="shared" si="1"/>
        <v>Late Evening</v>
      </c>
    </row>
    <row r="67" spans="1:12" x14ac:dyDescent="0.35">
      <c r="A67" s="3" t="s">
        <v>157</v>
      </c>
      <c r="B67" s="3" t="s">
        <v>158</v>
      </c>
      <c r="C67" s="6">
        <v>46192.583333333343</v>
      </c>
      <c r="D67" s="3" t="s">
        <v>36</v>
      </c>
      <c r="E67" s="3" t="s">
        <v>13</v>
      </c>
      <c r="F67" s="3" t="s">
        <v>54</v>
      </c>
      <c r="G67" s="3" t="s">
        <v>20</v>
      </c>
      <c r="H67" s="3">
        <v>0</v>
      </c>
      <c r="I67" s="3">
        <v>600</v>
      </c>
      <c r="J67" s="3" t="s">
        <v>16</v>
      </c>
      <c r="K67" s="3" t="str">
        <f t="shared" ref="K67:K130" si="2">TEXT(C67,"dddd")</f>
        <v>Friday</v>
      </c>
      <c r="L67" s="3" t="str">
        <f t="shared" ref="L67:L130" si="3">IF(HOUR(C67)&lt;11,"Morning",IF(HOUR(C67)&lt;14,"Afternoon",IF(HOUR(C67)&lt;17,"Evening","Late Evening")))</f>
        <v>Evening</v>
      </c>
    </row>
    <row r="68" spans="1:12" x14ac:dyDescent="0.35">
      <c r="A68" s="3" t="s">
        <v>159</v>
      </c>
      <c r="B68" s="3" t="s">
        <v>160</v>
      </c>
      <c r="C68" s="6">
        <v>46115.677083333343</v>
      </c>
      <c r="D68" s="3" t="s">
        <v>31</v>
      </c>
      <c r="E68" s="3" t="s">
        <v>47</v>
      </c>
      <c r="F68" s="3" t="s">
        <v>25</v>
      </c>
      <c r="G68" s="3" t="s">
        <v>15</v>
      </c>
      <c r="H68" s="3">
        <v>13</v>
      </c>
      <c r="I68" s="3">
        <v>1000</v>
      </c>
      <c r="J68" s="3" t="s">
        <v>16</v>
      </c>
      <c r="K68" s="3" t="str">
        <f t="shared" si="2"/>
        <v>Friday</v>
      </c>
      <c r="L68" s="3" t="str">
        <f t="shared" si="3"/>
        <v>Evening</v>
      </c>
    </row>
    <row r="69" spans="1:12" x14ac:dyDescent="0.35">
      <c r="A69" s="3" t="s">
        <v>161</v>
      </c>
      <c r="B69" s="3" t="s">
        <v>71</v>
      </c>
      <c r="C69" s="6">
        <v>46174.520833333343</v>
      </c>
      <c r="D69" s="3" t="s">
        <v>46</v>
      </c>
      <c r="E69" s="3" t="s">
        <v>47</v>
      </c>
      <c r="F69" s="3" t="s">
        <v>54</v>
      </c>
      <c r="G69" s="3" t="s">
        <v>15</v>
      </c>
      <c r="H69" s="3">
        <v>28</v>
      </c>
      <c r="I69" s="3">
        <v>700</v>
      </c>
      <c r="J69" s="3" t="s">
        <v>26</v>
      </c>
      <c r="K69" s="3" t="str">
        <f t="shared" si="2"/>
        <v>Monday</v>
      </c>
      <c r="L69" s="3" t="str">
        <f t="shared" si="3"/>
        <v>Afternoon</v>
      </c>
    </row>
    <row r="70" spans="1:12" x14ac:dyDescent="0.35">
      <c r="A70" s="3" t="s">
        <v>162</v>
      </c>
      <c r="B70" s="3" t="s">
        <v>163</v>
      </c>
      <c r="C70" s="6">
        <v>46109.364583333343</v>
      </c>
      <c r="D70" s="3" t="s">
        <v>46</v>
      </c>
      <c r="E70" s="3" t="s">
        <v>37</v>
      </c>
      <c r="F70" s="3" t="s">
        <v>19</v>
      </c>
      <c r="G70" s="3" t="s">
        <v>15</v>
      </c>
      <c r="H70" s="3">
        <v>20</v>
      </c>
      <c r="I70" s="3">
        <v>700</v>
      </c>
      <c r="J70" s="3" t="s">
        <v>16</v>
      </c>
      <c r="K70" s="3" t="str">
        <f t="shared" si="2"/>
        <v>Saturday</v>
      </c>
      <c r="L70" s="3" t="str">
        <f t="shared" si="3"/>
        <v>Morning</v>
      </c>
    </row>
    <row r="71" spans="1:12" x14ac:dyDescent="0.35">
      <c r="A71" s="3" t="s">
        <v>164</v>
      </c>
      <c r="B71" s="3" t="s">
        <v>165</v>
      </c>
      <c r="C71" s="6">
        <v>46094.770833333343</v>
      </c>
      <c r="D71" s="3" t="s">
        <v>36</v>
      </c>
      <c r="E71" s="3" t="s">
        <v>24</v>
      </c>
      <c r="F71" s="3" t="s">
        <v>19</v>
      </c>
      <c r="G71" s="3" t="s">
        <v>20</v>
      </c>
      <c r="H71" s="3">
        <v>0</v>
      </c>
      <c r="I71" s="3">
        <v>600</v>
      </c>
      <c r="J71" s="3" t="s">
        <v>26</v>
      </c>
      <c r="K71" s="3" t="str">
        <f t="shared" si="2"/>
        <v>Friday</v>
      </c>
      <c r="L71" s="3" t="str">
        <f t="shared" si="3"/>
        <v>Late Evening</v>
      </c>
    </row>
    <row r="72" spans="1:12" x14ac:dyDescent="0.35">
      <c r="A72" s="3" t="s">
        <v>166</v>
      </c>
      <c r="B72" s="3" t="s">
        <v>167</v>
      </c>
      <c r="C72" s="6">
        <v>46148.71875</v>
      </c>
      <c r="D72" s="3" t="s">
        <v>23</v>
      </c>
      <c r="E72" s="3" t="s">
        <v>13</v>
      </c>
      <c r="F72" s="3" t="s">
        <v>54</v>
      </c>
      <c r="G72" s="3" t="s">
        <v>57</v>
      </c>
      <c r="H72" s="3">
        <v>0</v>
      </c>
      <c r="I72" s="3">
        <v>900</v>
      </c>
      <c r="J72" s="3" t="s">
        <v>16</v>
      </c>
      <c r="K72" s="3" t="str">
        <f t="shared" si="2"/>
        <v>Wednesday</v>
      </c>
      <c r="L72" s="3" t="str">
        <f t="shared" si="3"/>
        <v>Late Evening</v>
      </c>
    </row>
    <row r="73" spans="1:12" x14ac:dyDescent="0.35">
      <c r="A73" s="3" t="s">
        <v>168</v>
      </c>
      <c r="B73" s="3" t="s">
        <v>169</v>
      </c>
      <c r="C73" s="6">
        <v>46098.489583333343</v>
      </c>
      <c r="D73" s="3" t="s">
        <v>12</v>
      </c>
      <c r="E73" s="3" t="s">
        <v>41</v>
      </c>
      <c r="F73" s="3" t="s">
        <v>25</v>
      </c>
      <c r="G73" s="3" t="s">
        <v>57</v>
      </c>
      <c r="H73" s="3">
        <v>0</v>
      </c>
      <c r="I73" s="3">
        <v>1000</v>
      </c>
      <c r="J73" s="3" t="s">
        <v>16</v>
      </c>
      <c r="K73" s="3" t="str">
        <f t="shared" si="2"/>
        <v>Tuesday</v>
      </c>
      <c r="L73" s="3" t="str">
        <f t="shared" si="3"/>
        <v>Afternoon</v>
      </c>
    </row>
    <row r="74" spans="1:12" x14ac:dyDescent="0.35">
      <c r="A74" s="3" t="s">
        <v>170</v>
      </c>
      <c r="B74" s="3" t="s">
        <v>39</v>
      </c>
      <c r="C74" s="6">
        <v>46131.729166666657</v>
      </c>
      <c r="D74" s="3" t="s">
        <v>50</v>
      </c>
      <c r="E74" s="3" t="s">
        <v>24</v>
      </c>
      <c r="F74" s="3" t="s">
        <v>25</v>
      </c>
      <c r="G74" s="3" t="s">
        <v>15</v>
      </c>
      <c r="H74" s="3">
        <v>19</v>
      </c>
      <c r="I74" s="3">
        <v>600</v>
      </c>
      <c r="J74" s="3" t="s">
        <v>16</v>
      </c>
      <c r="K74" s="3" t="str">
        <f t="shared" si="2"/>
        <v>Sunday</v>
      </c>
      <c r="L74" s="3" t="str">
        <f t="shared" si="3"/>
        <v>Late Evening</v>
      </c>
    </row>
    <row r="75" spans="1:12" x14ac:dyDescent="0.35">
      <c r="A75" s="3" t="s">
        <v>171</v>
      </c>
      <c r="B75" s="3" t="s">
        <v>172</v>
      </c>
      <c r="C75" s="6">
        <v>46072.583333333343</v>
      </c>
      <c r="D75" s="3" t="s">
        <v>53</v>
      </c>
      <c r="E75" s="3" t="s">
        <v>24</v>
      </c>
      <c r="F75" s="3" t="s">
        <v>19</v>
      </c>
      <c r="G75" s="3" t="s">
        <v>57</v>
      </c>
      <c r="H75" s="3">
        <v>0</v>
      </c>
      <c r="I75" s="3">
        <v>700</v>
      </c>
      <c r="J75" s="3" t="s">
        <v>26</v>
      </c>
      <c r="K75" s="3" t="str">
        <f t="shared" si="2"/>
        <v>Thursday</v>
      </c>
      <c r="L75" s="3" t="str">
        <f t="shared" si="3"/>
        <v>Evening</v>
      </c>
    </row>
    <row r="76" spans="1:12" x14ac:dyDescent="0.35">
      <c r="A76" s="3" t="s">
        <v>173</v>
      </c>
      <c r="B76" s="3" t="s">
        <v>30</v>
      </c>
      <c r="C76" s="6">
        <v>46093.770833333343</v>
      </c>
      <c r="D76" s="3" t="s">
        <v>23</v>
      </c>
      <c r="E76" s="3" t="s">
        <v>24</v>
      </c>
      <c r="F76" s="3" t="s">
        <v>19</v>
      </c>
      <c r="G76" s="3" t="s">
        <v>15</v>
      </c>
      <c r="H76" s="3">
        <v>37</v>
      </c>
      <c r="I76" s="3">
        <v>800</v>
      </c>
      <c r="J76" s="3" t="s">
        <v>16</v>
      </c>
      <c r="K76" s="3" t="str">
        <f t="shared" si="2"/>
        <v>Thursday</v>
      </c>
      <c r="L76" s="3" t="str">
        <f t="shared" si="3"/>
        <v>Late Evening</v>
      </c>
    </row>
    <row r="77" spans="1:12" x14ac:dyDescent="0.35">
      <c r="A77" s="3" t="s">
        <v>174</v>
      </c>
      <c r="B77" s="3" t="s">
        <v>175</v>
      </c>
      <c r="C77" s="6">
        <v>46026.71875</v>
      </c>
      <c r="D77" s="3" t="s">
        <v>23</v>
      </c>
      <c r="E77" s="3" t="s">
        <v>24</v>
      </c>
      <c r="F77" s="3" t="s">
        <v>14</v>
      </c>
      <c r="G77" s="3" t="s">
        <v>15</v>
      </c>
      <c r="H77" s="3">
        <v>42</v>
      </c>
      <c r="I77" s="3">
        <v>800</v>
      </c>
      <c r="J77" s="3" t="s">
        <v>16</v>
      </c>
      <c r="K77" s="3" t="str">
        <f t="shared" si="2"/>
        <v>Sunday</v>
      </c>
      <c r="L77" s="3" t="str">
        <f t="shared" si="3"/>
        <v>Late Evening</v>
      </c>
    </row>
    <row r="78" spans="1:12" x14ac:dyDescent="0.35">
      <c r="A78" s="3" t="s">
        <v>176</v>
      </c>
      <c r="B78" s="3" t="s">
        <v>177</v>
      </c>
      <c r="C78" s="6">
        <v>46049.354166666657</v>
      </c>
      <c r="D78" s="3" t="s">
        <v>23</v>
      </c>
      <c r="E78" s="3" t="s">
        <v>13</v>
      </c>
      <c r="F78" s="3" t="s">
        <v>25</v>
      </c>
      <c r="G78" s="3" t="s">
        <v>15</v>
      </c>
      <c r="H78" s="3">
        <v>41</v>
      </c>
      <c r="I78" s="3">
        <v>900</v>
      </c>
      <c r="J78" s="3" t="s">
        <v>26</v>
      </c>
      <c r="K78" s="3" t="str">
        <f t="shared" si="2"/>
        <v>Tuesday</v>
      </c>
      <c r="L78" s="3" t="str">
        <f t="shared" si="3"/>
        <v>Morning</v>
      </c>
    </row>
    <row r="79" spans="1:12" x14ac:dyDescent="0.35">
      <c r="A79" s="3" t="s">
        <v>178</v>
      </c>
      <c r="B79" s="3" t="s">
        <v>179</v>
      </c>
      <c r="C79" s="6">
        <v>46145.375</v>
      </c>
      <c r="D79" s="3" t="s">
        <v>31</v>
      </c>
      <c r="E79" s="3" t="s">
        <v>24</v>
      </c>
      <c r="F79" s="3" t="s">
        <v>14</v>
      </c>
      <c r="G79" s="3" t="s">
        <v>15</v>
      </c>
      <c r="H79" s="3">
        <v>24</v>
      </c>
      <c r="I79" s="3">
        <v>1100</v>
      </c>
      <c r="J79" s="3" t="s">
        <v>26</v>
      </c>
      <c r="K79" s="3" t="str">
        <f t="shared" si="2"/>
        <v>Sunday</v>
      </c>
      <c r="L79" s="3" t="str">
        <f t="shared" si="3"/>
        <v>Morning</v>
      </c>
    </row>
    <row r="80" spans="1:12" x14ac:dyDescent="0.35">
      <c r="A80" s="3" t="s">
        <v>180</v>
      </c>
      <c r="B80" s="3" t="s">
        <v>181</v>
      </c>
      <c r="C80" s="6">
        <v>46044.458333333343</v>
      </c>
      <c r="D80" s="3" t="s">
        <v>23</v>
      </c>
      <c r="E80" s="3" t="s">
        <v>47</v>
      </c>
      <c r="F80" s="3" t="s">
        <v>19</v>
      </c>
      <c r="G80" s="3" t="s">
        <v>20</v>
      </c>
      <c r="H80" s="3">
        <v>0</v>
      </c>
      <c r="I80" s="3">
        <v>900</v>
      </c>
      <c r="J80" s="3" t="s">
        <v>16</v>
      </c>
      <c r="K80" s="3" t="str">
        <f t="shared" si="2"/>
        <v>Thursday</v>
      </c>
      <c r="L80" s="3" t="str">
        <f t="shared" si="3"/>
        <v>Afternoon</v>
      </c>
    </row>
    <row r="81" spans="1:12" x14ac:dyDescent="0.35">
      <c r="A81" s="3" t="s">
        <v>182</v>
      </c>
      <c r="B81" s="3" t="s">
        <v>183</v>
      </c>
      <c r="C81" s="6">
        <v>46099.78125</v>
      </c>
      <c r="D81" s="3" t="s">
        <v>46</v>
      </c>
      <c r="E81" s="3" t="s">
        <v>24</v>
      </c>
      <c r="F81" s="3" t="s">
        <v>14</v>
      </c>
      <c r="G81" s="3" t="s">
        <v>15</v>
      </c>
      <c r="H81" s="3">
        <v>21</v>
      </c>
      <c r="I81" s="3">
        <v>600</v>
      </c>
      <c r="J81" s="3" t="s">
        <v>26</v>
      </c>
      <c r="K81" s="3" t="str">
        <f t="shared" si="2"/>
        <v>Wednesday</v>
      </c>
      <c r="L81" s="3" t="str">
        <f t="shared" si="3"/>
        <v>Late Evening</v>
      </c>
    </row>
    <row r="82" spans="1:12" x14ac:dyDescent="0.35">
      <c r="A82" s="3" t="s">
        <v>184</v>
      </c>
      <c r="B82" s="3" t="s">
        <v>103</v>
      </c>
      <c r="C82" s="6">
        <v>46090.385416666657</v>
      </c>
      <c r="D82" s="3" t="s">
        <v>53</v>
      </c>
      <c r="E82" s="3" t="s">
        <v>13</v>
      </c>
      <c r="F82" s="3" t="s">
        <v>14</v>
      </c>
      <c r="G82" s="3" t="s">
        <v>15</v>
      </c>
      <c r="H82" s="3">
        <v>33</v>
      </c>
      <c r="I82" s="3">
        <v>800</v>
      </c>
      <c r="J82" s="3" t="s">
        <v>26</v>
      </c>
      <c r="K82" s="3" t="str">
        <f t="shared" si="2"/>
        <v>Monday</v>
      </c>
      <c r="L82" s="3" t="str">
        <f t="shared" si="3"/>
        <v>Morning</v>
      </c>
    </row>
    <row r="83" spans="1:12" x14ac:dyDescent="0.35">
      <c r="A83" s="3" t="s">
        <v>185</v>
      </c>
      <c r="B83" s="3" t="s">
        <v>186</v>
      </c>
      <c r="C83" s="6">
        <v>46138.78125</v>
      </c>
      <c r="D83" s="3" t="s">
        <v>31</v>
      </c>
      <c r="E83" s="3" t="s">
        <v>47</v>
      </c>
      <c r="F83" s="3" t="s">
        <v>25</v>
      </c>
      <c r="G83" s="3" t="s">
        <v>15</v>
      </c>
      <c r="H83" s="3">
        <v>46</v>
      </c>
      <c r="I83" s="3">
        <v>1000</v>
      </c>
      <c r="J83" s="3" t="s">
        <v>16</v>
      </c>
      <c r="K83" s="3" t="str">
        <f t="shared" si="2"/>
        <v>Sunday</v>
      </c>
      <c r="L83" s="3" t="str">
        <f t="shared" si="3"/>
        <v>Late Evening</v>
      </c>
    </row>
    <row r="84" spans="1:12" x14ac:dyDescent="0.35">
      <c r="A84" s="3" t="s">
        <v>187</v>
      </c>
      <c r="B84" s="3" t="s">
        <v>188</v>
      </c>
      <c r="C84" s="6">
        <v>46198.479166666657</v>
      </c>
      <c r="D84" s="3" t="s">
        <v>79</v>
      </c>
      <c r="E84" s="3" t="s">
        <v>13</v>
      </c>
      <c r="F84" s="3" t="s">
        <v>19</v>
      </c>
      <c r="G84" s="3" t="s">
        <v>57</v>
      </c>
      <c r="H84" s="3">
        <v>0</v>
      </c>
      <c r="I84" s="3">
        <v>600</v>
      </c>
      <c r="J84" s="3" t="s">
        <v>16</v>
      </c>
      <c r="K84" s="3" t="str">
        <f t="shared" si="2"/>
        <v>Thursday</v>
      </c>
      <c r="L84" s="3" t="str">
        <f t="shared" si="3"/>
        <v>Afternoon</v>
      </c>
    </row>
    <row r="85" spans="1:12" x14ac:dyDescent="0.35">
      <c r="A85" s="3" t="s">
        <v>189</v>
      </c>
      <c r="B85" s="3" t="s">
        <v>85</v>
      </c>
      <c r="C85" s="6">
        <v>46188.4375</v>
      </c>
      <c r="D85" s="3" t="s">
        <v>12</v>
      </c>
      <c r="E85" s="3" t="s">
        <v>41</v>
      </c>
      <c r="F85" s="3" t="s">
        <v>19</v>
      </c>
      <c r="G85" s="3" t="s">
        <v>15</v>
      </c>
      <c r="H85" s="3">
        <v>29</v>
      </c>
      <c r="I85" s="3">
        <v>1000</v>
      </c>
      <c r="J85" s="3" t="s">
        <v>16</v>
      </c>
      <c r="K85" s="3" t="str">
        <f t="shared" si="2"/>
        <v>Monday</v>
      </c>
      <c r="L85" s="3" t="str">
        <f t="shared" si="3"/>
        <v>Morning</v>
      </c>
    </row>
    <row r="86" spans="1:12" x14ac:dyDescent="0.35">
      <c r="A86" s="3" t="s">
        <v>190</v>
      </c>
      <c r="B86" s="3" t="s">
        <v>191</v>
      </c>
      <c r="C86" s="6">
        <v>46135.40625</v>
      </c>
      <c r="D86" s="3" t="s">
        <v>50</v>
      </c>
      <c r="E86" s="3" t="s">
        <v>41</v>
      </c>
      <c r="F86" s="3" t="s">
        <v>54</v>
      </c>
      <c r="G86" s="3" t="s">
        <v>57</v>
      </c>
      <c r="H86" s="3">
        <v>0</v>
      </c>
      <c r="I86" s="3">
        <v>500</v>
      </c>
      <c r="J86" s="3" t="s">
        <v>16</v>
      </c>
      <c r="K86" s="3" t="str">
        <f t="shared" si="2"/>
        <v>Thursday</v>
      </c>
      <c r="L86" s="3" t="str">
        <f t="shared" si="3"/>
        <v>Morning</v>
      </c>
    </row>
    <row r="87" spans="1:12" x14ac:dyDescent="0.35">
      <c r="A87" s="3" t="s">
        <v>192</v>
      </c>
      <c r="B87" s="3" t="s">
        <v>98</v>
      </c>
      <c r="C87" s="6">
        <v>46135.375</v>
      </c>
      <c r="D87" s="3" t="s">
        <v>50</v>
      </c>
      <c r="E87" s="3" t="s">
        <v>13</v>
      </c>
      <c r="F87" s="3" t="s">
        <v>25</v>
      </c>
      <c r="G87" s="3" t="s">
        <v>15</v>
      </c>
      <c r="H87" s="3">
        <v>25</v>
      </c>
      <c r="I87" s="3">
        <v>500</v>
      </c>
      <c r="J87" s="3" t="s">
        <v>26</v>
      </c>
      <c r="K87" s="3" t="str">
        <f t="shared" si="2"/>
        <v>Thursday</v>
      </c>
      <c r="L87" s="3" t="str">
        <f t="shared" si="3"/>
        <v>Morning</v>
      </c>
    </row>
    <row r="88" spans="1:12" x14ac:dyDescent="0.35">
      <c r="A88" s="3" t="s">
        <v>193</v>
      </c>
      <c r="B88" s="3" t="s">
        <v>194</v>
      </c>
      <c r="C88" s="6">
        <v>46195.75</v>
      </c>
      <c r="D88" s="3" t="s">
        <v>12</v>
      </c>
      <c r="E88" s="3" t="s">
        <v>47</v>
      </c>
      <c r="F88" s="3" t="s">
        <v>14</v>
      </c>
      <c r="G88" s="3" t="s">
        <v>57</v>
      </c>
      <c r="H88" s="3">
        <v>0</v>
      </c>
      <c r="I88" s="3">
        <v>1000</v>
      </c>
      <c r="J88" s="3" t="s">
        <v>26</v>
      </c>
      <c r="K88" s="3" t="str">
        <f t="shared" si="2"/>
        <v>Monday</v>
      </c>
      <c r="L88" s="3" t="str">
        <f t="shared" si="3"/>
        <v>Late Evening</v>
      </c>
    </row>
    <row r="89" spans="1:12" x14ac:dyDescent="0.35">
      <c r="A89" s="3" t="s">
        <v>195</v>
      </c>
      <c r="B89" s="3" t="s">
        <v>196</v>
      </c>
      <c r="C89" s="6">
        <v>46094.447916666657</v>
      </c>
      <c r="D89" s="3" t="s">
        <v>46</v>
      </c>
      <c r="E89" s="3" t="s">
        <v>37</v>
      </c>
      <c r="F89" s="3" t="s">
        <v>14</v>
      </c>
      <c r="G89" s="3" t="s">
        <v>57</v>
      </c>
      <c r="H89" s="3">
        <v>0</v>
      </c>
      <c r="I89" s="3">
        <v>800</v>
      </c>
      <c r="J89" s="3" t="s">
        <v>16</v>
      </c>
      <c r="K89" s="3" t="str">
        <f t="shared" si="2"/>
        <v>Friday</v>
      </c>
      <c r="L89" s="3" t="str">
        <f t="shared" si="3"/>
        <v>Morning</v>
      </c>
    </row>
    <row r="90" spans="1:12" x14ac:dyDescent="0.35">
      <c r="A90" s="3" t="s">
        <v>197</v>
      </c>
      <c r="B90" s="3" t="s">
        <v>198</v>
      </c>
      <c r="C90" s="6">
        <v>46108.583333333343</v>
      </c>
      <c r="D90" s="3" t="s">
        <v>36</v>
      </c>
      <c r="E90" s="3" t="s">
        <v>47</v>
      </c>
      <c r="F90" s="3" t="s">
        <v>54</v>
      </c>
      <c r="G90" s="3" t="s">
        <v>15</v>
      </c>
      <c r="H90" s="3">
        <v>8</v>
      </c>
      <c r="I90" s="3">
        <v>600</v>
      </c>
      <c r="J90" s="3" t="s">
        <v>16</v>
      </c>
      <c r="K90" s="3" t="str">
        <f t="shared" si="2"/>
        <v>Friday</v>
      </c>
      <c r="L90" s="3" t="str">
        <f t="shared" si="3"/>
        <v>Evening</v>
      </c>
    </row>
    <row r="91" spans="1:12" x14ac:dyDescent="0.35">
      <c r="A91" s="3" t="s">
        <v>199</v>
      </c>
      <c r="B91" s="3" t="s">
        <v>200</v>
      </c>
      <c r="C91" s="6">
        <v>46139.395833333343</v>
      </c>
      <c r="D91" s="3" t="s">
        <v>79</v>
      </c>
      <c r="E91" s="3" t="s">
        <v>41</v>
      </c>
      <c r="F91" s="3" t="s">
        <v>54</v>
      </c>
      <c r="G91" s="3" t="s">
        <v>15</v>
      </c>
      <c r="H91" s="3">
        <v>10</v>
      </c>
      <c r="I91" s="3">
        <v>700</v>
      </c>
      <c r="J91" s="3" t="s">
        <v>26</v>
      </c>
      <c r="K91" s="3" t="str">
        <f t="shared" si="2"/>
        <v>Monday</v>
      </c>
      <c r="L91" s="3" t="str">
        <f t="shared" si="3"/>
        <v>Morning</v>
      </c>
    </row>
    <row r="92" spans="1:12" x14ac:dyDescent="0.35">
      <c r="A92" s="3" t="s">
        <v>525</v>
      </c>
      <c r="B92" s="3" t="s">
        <v>202</v>
      </c>
      <c r="C92" s="6">
        <v>46128.34375</v>
      </c>
      <c r="D92" s="3" t="s">
        <v>50</v>
      </c>
      <c r="E92" s="3" t="s">
        <v>13</v>
      </c>
      <c r="F92" s="3" t="s">
        <v>54</v>
      </c>
      <c r="G92" s="3" t="s">
        <v>20</v>
      </c>
      <c r="H92" s="3" t="s">
        <v>756</v>
      </c>
      <c r="I92" s="3">
        <v>500</v>
      </c>
      <c r="J92" s="3" t="s">
        <v>16</v>
      </c>
      <c r="K92" s="3" t="str">
        <f t="shared" si="2"/>
        <v>Thursday</v>
      </c>
      <c r="L92" s="3" t="str">
        <f t="shared" si="3"/>
        <v>Morning</v>
      </c>
    </row>
    <row r="93" spans="1:12" x14ac:dyDescent="0.35">
      <c r="A93" s="3" t="s">
        <v>203</v>
      </c>
      <c r="B93" s="3" t="s">
        <v>107</v>
      </c>
      <c r="C93" s="6">
        <v>46091.71875</v>
      </c>
      <c r="D93" s="3" t="s">
        <v>12</v>
      </c>
      <c r="E93" s="3" t="s">
        <v>13</v>
      </c>
      <c r="F93" s="3" t="s">
        <v>54</v>
      </c>
      <c r="G93" s="3" t="s">
        <v>15</v>
      </c>
      <c r="H93" s="3">
        <v>44</v>
      </c>
      <c r="I93" s="3">
        <v>1100</v>
      </c>
      <c r="J93" s="3" t="s">
        <v>26</v>
      </c>
      <c r="K93" s="3" t="str">
        <f t="shared" si="2"/>
        <v>Tuesday</v>
      </c>
      <c r="L93" s="3" t="str">
        <f t="shared" si="3"/>
        <v>Late Evening</v>
      </c>
    </row>
    <row r="94" spans="1:12" x14ac:dyDescent="0.35">
      <c r="A94" s="3" t="s">
        <v>204</v>
      </c>
      <c r="B94" s="3" t="s">
        <v>49</v>
      </c>
      <c r="C94" s="6">
        <v>46063.5</v>
      </c>
      <c r="D94" s="3" t="s">
        <v>12</v>
      </c>
      <c r="E94" s="3" t="s">
        <v>47</v>
      </c>
      <c r="F94" s="3" t="s">
        <v>19</v>
      </c>
      <c r="G94" s="3" t="s">
        <v>20</v>
      </c>
      <c r="H94" s="3">
        <v>0</v>
      </c>
      <c r="I94" s="3">
        <v>1100</v>
      </c>
      <c r="J94" s="3" t="s">
        <v>26</v>
      </c>
      <c r="K94" s="3" t="str">
        <f t="shared" si="2"/>
        <v>Tuesday</v>
      </c>
      <c r="L94" s="3" t="str">
        <f t="shared" si="3"/>
        <v>Afternoon</v>
      </c>
    </row>
    <row r="95" spans="1:12" x14ac:dyDescent="0.35">
      <c r="A95" s="3" t="s">
        <v>205</v>
      </c>
      <c r="B95" s="3" t="s">
        <v>206</v>
      </c>
      <c r="C95" s="6">
        <v>46188.447916666657</v>
      </c>
      <c r="D95" s="3" t="s">
        <v>79</v>
      </c>
      <c r="E95" s="3" t="s">
        <v>47</v>
      </c>
      <c r="F95" s="3" t="s">
        <v>25</v>
      </c>
      <c r="G95" s="3" t="s">
        <v>57</v>
      </c>
      <c r="H95" s="3">
        <v>0</v>
      </c>
      <c r="I95" s="3">
        <v>700</v>
      </c>
      <c r="J95" s="3" t="s">
        <v>16</v>
      </c>
      <c r="K95" s="3" t="str">
        <f t="shared" si="2"/>
        <v>Monday</v>
      </c>
      <c r="L95" s="3" t="str">
        <f t="shared" si="3"/>
        <v>Morning</v>
      </c>
    </row>
    <row r="96" spans="1:12" x14ac:dyDescent="0.35">
      <c r="A96" s="3" t="s">
        <v>207</v>
      </c>
      <c r="B96" s="3" t="s">
        <v>208</v>
      </c>
      <c r="C96" s="6">
        <v>46085.677083333343</v>
      </c>
      <c r="D96" s="3" t="s">
        <v>46</v>
      </c>
      <c r="E96" s="3" t="s">
        <v>37</v>
      </c>
      <c r="F96" s="3" t="s">
        <v>19</v>
      </c>
      <c r="G96" s="3" t="s">
        <v>15</v>
      </c>
      <c r="H96" s="3">
        <v>41</v>
      </c>
      <c r="I96" s="3">
        <v>700</v>
      </c>
      <c r="J96" s="3" t="s">
        <v>26</v>
      </c>
      <c r="K96" s="3" t="str">
        <f t="shared" si="2"/>
        <v>Wednesday</v>
      </c>
      <c r="L96" s="3" t="str">
        <f t="shared" si="3"/>
        <v>Evening</v>
      </c>
    </row>
    <row r="97" spans="1:12" x14ac:dyDescent="0.35">
      <c r="A97" s="3" t="s">
        <v>209</v>
      </c>
      <c r="B97" s="3" t="s">
        <v>210</v>
      </c>
      <c r="C97" s="6">
        <v>46110.729166666657</v>
      </c>
      <c r="D97" s="3" t="s">
        <v>36</v>
      </c>
      <c r="E97" s="3" t="s">
        <v>24</v>
      </c>
      <c r="F97" s="3" t="s">
        <v>25</v>
      </c>
      <c r="G97" s="3" t="s">
        <v>15</v>
      </c>
      <c r="H97" s="3">
        <v>21</v>
      </c>
      <c r="I97" s="3">
        <v>600</v>
      </c>
      <c r="J97" s="3" t="s">
        <v>16</v>
      </c>
      <c r="K97" s="3" t="str">
        <f t="shared" si="2"/>
        <v>Sunday</v>
      </c>
      <c r="L97" s="3" t="str">
        <f t="shared" si="3"/>
        <v>Late Evening</v>
      </c>
    </row>
    <row r="98" spans="1:12" x14ac:dyDescent="0.35">
      <c r="A98" s="3" t="s">
        <v>211</v>
      </c>
      <c r="B98" s="3" t="s">
        <v>212</v>
      </c>
      <c r="C98" s="6">
        <v>46160.6875</v>
      </c>
      <c r="D98" s="3" t="s">
        <v>23</v>
      </c>
      <c r="E98" s="3" t="s">
        <v>37</v>
      </c>
      <c r="F98" s="3" t="s">
        <v>54</v>
      </c>
      <c r="G98" s="3" t="s">
        <v>15</v>
      </c>
      <c r="H98" s="3">
        <v>42</v>
      </c>
      <c r="I98" s="3">
        <v>700</v>
      </c>
      <c r="J98" s="3" t="s">
        <v>16</v>
      </c>
      <c r="K98" s="3" t="str">
        <f t="shared" si="2"/>
        <v>Monday</v>
      </c>
      <c r="L98" s="3" t="str">
        <f t="shared" si="3"/>
        <v>Evening</v>
      </c>
    </row>
    <row r="99" spans="1:12" x14ac:dyDescent="0.35">
      <c r="A99" s="3" t="s">
        <v>213</v>
      </c>
      <c r="B99" s="3" t="s">
        <v>214</v>
      </c>
      <c r="C99" s="6">
        <v>46201.489583333343</v>
      </c>
      <c r="D99" s="3" t="s">
        <v>99</v>
      </c>
      <c r="E99" s="3" t="s">
        <v>47</v>
      </c>
      <c r="F99" s="3" t="s">
        <v>25</v>
      </c>
      <c r="G99" s="3" t="s">
        <v>15</v>
      </c>
      <c r="H99" s="3">
        <v>26</v>
      </c>
      <c r="I99" s="3">
        <v>700</v>
      </c>
      <c r="J99" s="3" t="s">
        <v>16</v>
      </c>
      <c r="K99" s="3" t="str">
        <f t="shared" si="2"/>
        <v>Sunday</v>
      </c>
      <c r="L99" s="3" t="str">
        <f t="shared" si="3"/>
        <v>Afternoon</v>
      </c>
    </row>
    <row r="100" spans="1:12" x14ac:dyDescent="0.35">
      <c r="A100" s="3" t="s">
        <v>215</v>
      </c>
      <c r="B100" s="3" t="s">
        <v>216</v>
      </c>
      <c r="C100" s="6">
        <v>46192.447916666657</v>
      </c>
      <c r="D100" s="3" t="s">
        <v>46</v>
      </c>
      <c r="E100" s="3" t="s">
        <v>47</v>
      </c>
      <c r="F100" s="3" t="s">
        <v>25</v>
      </c>
      <c r="G100" s="3" t="s">
        <v>15</v>
      </c>
      <c r="H100" s="3">
        <v>17</v>
      </c>
      <c r="I100" s="3">
        <v>700</v>
      </c>
      <c r="J100" s="3" t="s">
        <v>26</v>
      </c>
      <c r="K100" s="3" t="str">
        <f t="shared" si="2"/>
        <v>Friday</v>
      </c>
      <c r="L100" s="3" t="str">
        <f t="shared" si="3"/>
        <v>Morning</v>
      </c>
    </row>
    <row r="101" spans="1:12" x14ac:dyDescent="0.35">
      <c r="A101" s="3" t="s">
        <v>217</v>
      </c>
      <c r="B101" s="3" t="s">
        <v>138</v>
      </c>
      <c r="C101" s="6">
        <v>46157.666666666657</v>
      </c>
      <c r="D101" s="3" t="s">
        <v>79</v>
      </c>
      <c r="E101" s="3" t="s">
        <v>47</v>
      </c>
      <c r="F101" s="3" t="s">
        <v>19</v>
      </c>
      <c r="G101" s="3" t="s">
        <v>57</v>
      </c>
      <c r="H101" s="3">
        <v>0</v>
      </c>
      <c r="I101" s="3">
        <v>700</v>
      </c>
      <c r="J101" s="3" t="s">
        <v>26</v>
      </c>
      <c r="K101" s="3" t="str">
        <f t="shared" si="2"/>
        <v>Friday</v>
      </c>
      <c r="L101" s="3" t="str">
        <f t="shared" si="3"/>
        <v>Evening</v>
      </c>
    </row>
    <row r="102" spans="1:12" x14ac:dyDescent="0.35">
      <c r="A102" s="3" t="s">
        <v>218</v>
      </c>
      <c r="B102" s="3" t="s">
        <v>219</v>
      </c>
      <c r="C102" s="6">
        <v>46109.78125</v>
      </c>
      <c r="D102" s="3" t="s">
        <v>46</v>
      </c>
      <c r="E102" s="3" t="s">
        <v>37</v>
      </c>
      <c r="F102" s="3" t="s">
        <v>25</v>
      </c>
      <c r="G102" s="3" t="s">
        <v>57</v>
      </c>
      <c r="H102" s="3">
        <v>0</v>
      </c>
      <c r="I102" s="3">
        <v>700</v>
      </c>
      <c r="J102" s="3" t="s">
        <v>16</v>
      </c>
      <c r="K102" s="3" t="str">
        <f t="shared" si="2"/>
        <v>Saturday</v>
      </c>
      <c r="L102" s="3" t="str">
        <f t="shared" si="3"/>
        <v>Late Evening</v>
      </c>
    </row>
    <row r="103" spans="1:12" x14ac:dyDescent="0.35">
      <c r="A103" s="3" t="s">
        <v>220</v>
      </c>
      <c r="B103" s="3" t="s">
        <v>221</v>
      </c>
      <c r="C103" s="6">
        <v>46161.333333333343</v>
      </c>
      <c r="D103" s="3" t="s">
        <v>36</v>
      </c>
      <c r="E103" s="3" t="s">
        <v>13</v>
      </c>
      <c r="F103" s="3" t="s">
        <v>14</v>
      </c>
      <c r="G103" s="3" t="s">
        <v>15</v>
      </c>
      <c r="H103" s="3">
        <v>26</v>
      </c>
      <c r="I103" s="3">
        <v>600</v>
      </c>
      <c r="J103" s="3" t="s">
        <v>16</v>
      </c>
      <c r="K103" s="3" t="str">
        <f t="shared" si="2"/>
        <v>Tuesday</v>
      </c>
      <c r="L103" s="3" t="str">
        <f t="shared" si="3"/>
        <v>Morning</v>
      </c>
    </row>
    <row r="104" spans="1:12" x14ac:dyDescent="0.35">
      <c r="A104" s="3" t="s">
        <v>222</v>
      </c>
      <c r="B104" s="3" t="s">
        <v>148</v>
      </c>
      <c r="C104" s="6">
        <v>46136.4375</v>
      </c>
      <c r="D104" s="3" t="s">
        <v>12</v>
      </c>
      <c r="E104" s="3" t="s">
        <v>37</v>
      </c>
      <c r="F104" s="3" t="s">
        <v>14</v>
      </c>
      <c r="G104" s="3" t="s">
        <v>15</v>
      </c>
      <c r="H104" s="3">
        <v>53</v>
      </c>
      <c r="I104" s="3">
        <v>1000</v>
      </c>
      <c r="J104" s="3" t="s">
        <v>16</v>
      </c>
      <c r="K104" s="3" t="str">
        <f t="shared" si="2"/>
        <v>Friday</v>
      </c>
      <c r="L104" s="3" t="str">
        <f t="shared" si="3"/>
        <v>Morning</v>
      </c>
    </row>
    <row r="105" spans="1:12" x14ac:dyDescent="0.35">
      <c r="A105" s="3" t="s">
        <v>223</v>
      </c>
      <c r="B105" s="3" t="s">
        <v>146</v>
      </c>
      <c r="C105" s="6">
        <v>46133.427083333343</v>
      </c>
      <c r="D105" s="3" t="s">
        <v>36</v>
      </c>
      <c r="E105" s="3" t="s">
        <v>24</v>
      </c>
      <c r="F105" s="3" t="s">
        <v>19</v>
      </c>
      <c r="G105" s="3" t="s">
        <v>20</v>
      </c>
      <c r="H105" s="3">
        <v>0</v>
      </c>
      <c r="I105" s="3">
        <v>700</v>
      </c>
      <c r="J105" s="3" t="s">
        <v>26</v>
      </c>
      <c r="K105" s="3" t="str">
        <f t="shared" si="2"/>
        <v>Tuesday</v>
      </c>
      <c r="L105" s="3" t="str">
        <f t="shared" si="3"/>
        <v>Morning</v>
      </c>
    </row>
    <row r="106" spans="1:12" x14ac:dyDescent="0.35">
      <c r="A106" s="3" t="s">
        <v>224</v>
      </c>
      <c r="B106" s="3" t="s">
        <v>225</v>
      </c>
      <c r="C106" s="6">
        <v>46179.635416666657</v>
      </c>
      <c r="D106" s="3" t="s">
        <v>53</v>
      </c>
      <c r="E106" s="3" t="s">
        <v>37</v>
      </c>
      <c r="F106" s="3" t="s">
        <v>19</v>
      </c>
      <c r="G106" s="3" t="s">
        <v>15</v>
      </c>
      <c r="H106" s="3">
        <v>29</v>
      </c>
      <c r="I106" s="3">
        <v>700</v>
      </c>
      <c r="J106" s="3" t="s">
        <v>16</v>
      </c>
      <c r="K106" s="3" t="str">
        <f t="shared" si="2"/>
        <v>Saturday</v>
      </c>
      <c r="L106" s="3" t="str">
        <f t="shared" si="3"/>
        <v>Evening</v>
      </c>
    </row>
    <row r="107" spans="1:12" x14ac:dyDescent="0.35">
      <c r="A107" s="3" t="s">
        <v>226</v>
      </c>
      <c r="B107" s="3" t="s">
        <v>227</v>
      </c>
      <c r="C107" s="6">
        <v>46088.364583333343</v>
      </c>
      <c r="D107" s="3" t="s">
        <v>36</v>
      </c>
      <c r="E107" s="3" t="s">
        <v>37</v>
      </c>
      <c r="F107" s="3" t="s">
        <v>14</v>
      </c>
      <c r="G107" s="3" t="s">
        <v>15</v>
      </c>
      <c r="H107" s="3">
        <v>40</v>
      </c>
      <c r="I107" s="3">
        <v>500</v>
      </c>
      <c r="J107" s="3" t="s">
        <v>16</v>
      </c>
      <c r="K107" s="3" t="str">
        <f t="shared" si="2"/>
        <v>Saturday</v>
      </c>
      <c r="L107" s="3" t="str">
        <f t="shared" si="3"/>
        <v>Morning</v>
      </c>
    </row>
    <row r="108" spans="1:12" x14ac:dyDescent="0.35">
      <c r="A108" s="3" t="s">
        <v>228</v>
      </c>
      <c r="B108" s="3" t="s">
        <v>229</v>
      </c>
      <c r="C108" s="6">
        <v>46186.645833333343</v>
      </c>
      <c r="D108" s="3" t="s">
        <v>36</v>
      </c>
      <c r="E108" s="3" t="s">
        <v>13</v>
      </c>
      <c r="F108" s="3" t="s">
        <v>54</v>
      </c>
      <c r="G108" s="3" t="s">
        <v>15</v>
      </c>
      <c r="H108" s="3">
        <v>5</v>
      </c>
      <c r="I108" s="3">
        <v>600</v>
      </c>
      <c r="J108" s="3" t="s">
        <v>16</v>
      </c>
      <c r="K108" s="3" t="str">
        <f t="shared" si="2"/>
        <v>Saturday</v>
      </c>
      <c r="L108" s="3" t="str">
        <f t="shared" si="3"/>
        <v>Evening</v>
      </c>
    </row>
    <row r="109" spans="1:12" x14ac:dyDescent="0.35">
      <c r="A109" s="3" t="s">
        <v>230</v>
      </c>
      <c r="B109" s="3" t="s">
        <v>191</v>
      </c>
      <c r="C109" s="6">
        <v>46120.770833333343</v>
      </c>
      <c r="D109" s="3" t="s">
        <v>12</v>
      </c>
      <c r="E109" s="3" t="s">
        <v>47</v>
      </c>
      <c r="F109" s="3" t="s">
        <v>25</v>
      </c>
      <c r="G109" s="3" t="s">
        <v>20</v>
      </c>
      <c r="H109" s="3">
        <v>0</v>
      </c>
      <c r="I109" s="3">
        <v>1000</v>
      </c>
      <c r="J109" s="3" t="s">
        <v>26</v>
      </c>
      <c r="K109" s="3" t="str">
        <f t="shared" si="2"/>
        <v>Wednesday</v>
      </c>
      <c r="L109" s="3" t="str">
        <f t="shared" si="3"/>
        <v>Late Evening</v>
      </c>
    </row>
    <row r="110" spans="1:12" x14ac:dyDescent="0.35">
      <c r="A110" s="3" t="s">
        <v>231</v>
      </c>
      <c r="B110" s="3" t="s">
        <v>232</v>
      </c>
      <c r="C110" s="6">
        <v>46025.75</v>
      </c>
      <c r="D110" s="3" t="s">
        <v>46</v>
      </c>
      <c r="E110" s="3" t="s">
        <v>41</v>
      </c>
      <c r="F110" s="3" t="s">
        <v>25</v>
      </c>
      <c r="G110" s="3" t="s">
        <v>20</v>
      </c>
      <c r="H110" s="3">
        <v>0</v>
      </c>
      <c r="I110" s="3">
        <v>800</v>
      </c>
      <c r="J110" s="3" t="s">
        <v>26</v>
      </c>
      <c r="K110" s="3" t="str">
        <f t="shared" si="2"/>
        <v>Saturday</v>
      </c>
      <c r="L110" s="3" t="str">
        <f t="shared" si="3"/>
        <v>Late Evening</v>
      </c>
    </row>
    <row r="111" spans="1:12" x14ac:dyDescent="0.35">
      <c r="A111" s="3" t="s">
        <v>233</v>
      </c>
      <c r="B111" s="3" t="s">
        <v>234</v>
      </c>
      <c r="C111" s="6">
        <v>46079.479166666657</v>
      </c>
      <c r="D111" s="3" t="s">
        <v>50</v>
      </c>
      <c r="E111" s="3" t="s">
        <v>37</v>
      </c>
      <c r="F111" s="3" t="s">
        <v>14</v>
      </c>
      <c r="G111" s="3" t="s">
        <v>57</v>
      </c>
      <c r="H111" s="3">
        <v>0</v>
      </c>
      <c r="I111" s="3">
        <v>500</v>
      </c>
      <c r="J111" s="3" t="s">
        <v>26</v>
      </c>
      <c r="K111" s="3" t="str">
        <f t="shared" si="2"/>
        <v>Thursday</v>
      </c>
      <c r="L111" s="3" t="str">
        <f t="shared" si="3"/>
        <v>Afternoon</v>
      </c>
    </row>
    <row r="112" spans="1:12" x14ac:dyDescent="0.35">
      <c r="A112" s="3" t="s">
        <v>235</v>
      </c>
      <c r="B112" s="3" t="s">
        <v>49</v>
      </c>
      <c r="C112" s="6">
        <v>46031.770833333343</v>
      </c>
      <c r="D112" s="3" t="s">
        <v>36</v>
      </c>
      <c r="E112" s="3" t="s">
        <v>47</v>
      </c>
      <c r="F112" s="3" t="s">
        <v>25</v>
      </c>
      <c r="G112" s="3" t="s">
        <v>57</v>
      </c>
      <c r="H112" s="3">
        <v>0</v>
      </c>
      <c r="I112" s="3">
        <v>600</v>
      </c>
      <c r="J112" s="3" t="s">
        <v>16</v>
      </c>
      <c r="K112" s="3" t="str">
        <f t="shared" si="2"/>
        <v>Friday</v>
      </c>
      <c r="L112" s="3" t="str">
        <f t="shared" si="3"/>
        <v>Late Evening</v>
      </c>
    </row>
    <row r="113" spans="1:12" x14ac:dyDescent="0.35">
      <c r="A113" s="3" t="s">
        <v>236</v>
      </c>
      <c r="B113" s="3" t="s">
        <v>237</v>
      </c>
      <c r="C113" s="6">
        <v>46074.4375</v>
      </c>
      <c r="D113" s="3" t="s">
        <v>79</v>
      </c>
      <c r="E113" s="3" t="s">
        <v>37</v>
      </c>
      <c r="F113" s="3" t="s">
        <v>25</v>
      </c>
      <c r="G113" s="3" t="s">
        <v>20</v>
      </c>
      <c r="H113" s="3">
        <v>0</v>
      </c>
      <c r="I113" s="3">
        <v>600</v>
      </c>
      <c r="J113" s="3" t="s">
        <v>26</v>
      </c>
      <c r="K113" s="3" t="str">
        <f t="shared" si="2"/>
        <v>Saturday</v>
      </c>
      <c r="L113" s="3" t="str">
        <f t="shared" si="3"/>
        <v>Morning</v>
      </c>
    </row>
    <row r="114" spans="1:12" x14ac:dyDescent="0.35">
      <c r="A114" s="3" t="s">
        <v>238</v>
      </c>
      <c r="B114" s="3" t="s">
        <v>225</v>
      </c>
      <c r="C114" s="6">
        <v>46098.583333333343</v>
      </c>
      <c r="D114" s="3" t="s">
        <v>36</v>
      </c>
      <c r="E114" s="3" t="s">
        <v>41</v>
      </c>
      <c r="F114" s="3" t="s">
        <v>19</v>
      </c>
      <c r="G114" s="3" t="s">
        <v>15</v>
      </c>
      <c r="H114" s="3">
        <v>31</v>
      </c>
      <c r="I114" s="3">
        <v>600</v>
      </c>
      <c r="J114" s="3" t="s">
        <v>16</v>
      </c>
      <c r="K114" s="3" t="str">
        <f t="shared" si="2"/>
        <v>Tuesday</v>
      </c>
      <c r="L114" s="3" t="str">
        <f t="shared" si="3"/>
        <v>Evening</v>
      </c>
    </row>
    <row r="115" spans="1:12" x14ac:dyDescent="0.35">
      <c r="A115" s="3" t="s">
        <v>239</v>
      </c>
      <c r="B115" s="3" t="s">
        <v>240</v>
      </c>
      <c r="C115" s="6">
        <v>46046.625</v>
      </c>
      <c r="D115" s="3" t="s">
        <v>50</v>
      </c>
      <c r="E115" s="3" t="s">
        <v>37</v>
      </c>
      <c r="F115" s="3" t="s">
        <v>54</v>
      </c>
      <c r="G115" s="3" t="s">
        <v>15</v>
      </c>
      <c r="H115" s="3">
        <v>29</v>
      </c>
      <c r="I115" s="3">
        <v>400</v>
      </c>
      <c r="J115" s="3" t="s">
        <v>16</v>
      </c>
      <c r="K115" s="3" t="str">
        <f t="shared" si="2"/>
        <v>Saturday</v>
      </c>
      <c r="L115" s="3" t="str">
        <f t="shared" si="3"/>
        <v>Evening</v>
      </c>
    </row>
    <row r="116" spans="1:12" x14ac:dyDescent="0.35">
      <c r="A116" s="3" t="s">
        <v>241</v>
      </c>
      <c r="B116" s="3" t="s">
        <v>150</v>
      </c>
      <c r="C116" s="6">
        <v>46186.583333333343</v>
      </c>
      <c r="D116" s="3" t="s">
        <v>36</v>
      </c>
      <c r="E116" s="3" t="s">
        <v>41</v>
      </c>
      <c r="F116" s="3" t="s">
        <v>14</v>
      </c>
      <c r="G116" s="3" t="s">
        <v>57</v>
      </c>
      <c r="H116" s="3">
        <v>0</v>
      </c>
      <c r="I116" s="3">
        <v>600</v>
      </c>
      <c r="J116" s="3" t="s">
        <v>16</v>
      </c>
      <c r="K116" s="3" t="str">
        <f t="shared" si="2"/>
        <v>Saturday</v>
      </c>
      <c r="L116" s="3" t="str">
        <f t="shared" si="3"/>
        <v>Evening</v>
      </c>
    </row>
    <row r="117" spans="1:12" x14ac:dyDescent="0.35">
      <c r="A117" s="3" t="s">
        <v>242</v>
      </c>
      <c r="B117" s="3" t="s">
        <v>243</v>
      </c>
      <c r="C117" s="6">
        <v>46188.40625</v>
      </c>
      <c r="D117" s="3" t="s">
        <v>40</v>
      </c>
      <c r="E117" s="3" t="s">
        <v>24</v>
      </c>
      <c r="F117" s="3" t="s">
        <v>54</v>
      </c>
      <c r="G117" s="3" t="s">
        <v>57</v>
      </c>
      <c r="H117" s="3">
        <v>0</v>
      </c>
      <c r="I117" s="3">
        <v>500</v>
      </c>
      <c r="J117" s="3" t="s">
        <v>26</v>
      </c>
      <c r="K117" s="3" t="str">
        <f t="shared" si="2"/>
        <v>Monday</v>
      </c>
      <c r="L117" s="3" t="str">
        <f t="shared" si="3"/>
        <v>Morning</v>
      </c>
    </row>
    <row r="118" spans="1:12" x14ac:dyDescent="0.35">
      <c r="A118" s="3" t="s">
        <v>244</v>
      </c>
      <c r="B118" s="3" t="s">
        <v>245</v>
      </c>
      <c r="C118" s="6">
        <v>46032.53125</v>
      </c>
      <c r="D118" s="3" t="s">
        <v>53</v>
      </c>
      <c r="E118" s="3" t="s">
        <v>47</v>
      </c>
      <c r="F118" s="3" t="s">
        <v>19</v>
      </c>
      <c r="G118" s="3" t="s">
        <v>15</v>
      </c>
      <c r="H118" s="3">
        <v>26</v>
      </c>
      <c r="I118" s="3">
        <v>800</v>
      </c>
      <c r="J118" s="3" t="s">
        <v>16</v>
      </c>
      <c r="K118" s="3" t="str">
        <f t="shared" si="2"/>
        <v>Saturday</v>
      </c>
      <c r="L118" s="3" t="str">
        <f t="shared" si="3"/>
        <v>Afternoon</v>
      </c>
    </row>
    <row r="119" spans="1:12" x14ac:dyDescent="0.35">
      <c r="A119" s="3" t="s">
        <v>246</v>
      </c>
      <c r="B119" s="3" t="s">
        <v>247</v>
      </c>
      <c r="C119" s="6">
        <v>46194.739583333343</v>
      </c>
      <c r="D119" s="3" t="s">
        <v>46</v>
      </c>
      <c r="E119" s="3" t="s">
        <v>47</v>
      </c>
      <c r="F119" s="3" t="s">
        <v>54</v>
      </c>
      <c r="G119" s="3" t="s">
        <v>20</v>
      </c>
      <c r="H119" s="3">
        <v>0</v>
      </c>
      <c r="I119" s="3">
        <v>700</v>
      </c>
      <c r="J119" s="3" t="s">
        <v>26</v>
      </c>
      <c r="K119" s="3" t="str">
        <f t="shared" si="2"/>
        <v>Sunday</v>
      </c>
      <c r="L119" s="3" t="str">
        <f t="shared" si="3"/>
        <v>Late Evening</v>
      </c>
    </row>
    <row r="120" spans="1:12" x14ac:dyDescent="0.35">
      <c r="A120" s="3" t="s">
        <v>248</v>
      </c>
      <c r="B120" s="3" t="s">
        <v>123</v>
      </c>
      <c r="C120" s="6">
        <v>46094.354166666657</v>
      </c>
      <c r="D120" s="3" t="s">
        <v>46</v>
      </c>
      <c r="E120" s="3" t="s">
        <v>13</v>
      </c>
      <c r="F120" s="3" t="s">
        <v>19</v>
      </c>
      <c r="G120" s="3" t="s">
        <v>15</v>
      </c>
      <c r="H120" s="3">
        <v>26</v>
      </c>
      <c r="I120" s="3">
        <v>800</v>
      </c>
      <c r="J120" s="3" t="s">
        <v>16</v>
      </c>
      <c r="K120" s="3" t="str">
        <f t="shared" si="2"/>
        <v>Friday</v>
      </c>
      <c r="L120" s="3" t="str">
        <f t="shared" si="3"/>
        <v>Morning</v>
      </c>
    </row>
    <row r="121" spans="1:12" x14ac:dyDescent="0.35">
      <c r="A121" s="3" t="s">
        <v>249</v>
      </c>
      <c r="B121" s="3" t="s">
        <v>115</v>
      </c>
      <c r="C121" s="6">
        <v>46162.583333333343</v>
      </c>
      <c r="D121" s="3" t="s">
        <v>31</v>
      </c>
      <c r="E121" s="3" t="s">
        <v>13</v>
      </c>
      <c r="F121" s="3" t="s">
        <v>14</v>
      </c>
      <c r="G121" s="3" t="s">
        <v>15</v>
      </c>
      <c r="H121" s="3">
        <v>11</v>
      </c>
      <c r="I121" s="3">
        <v>1000</v>
      </c>
      <c r="J121" s="3" t="s">
        <v>16</v>
      </c>
      <c r="K121" s="3" t="str">
        <f t="shared" si="2"/>
        <v>Wednesday</v>
      </c>
      <c r="L121" s="3" t="str">
        <f t="shared" si="3"/>
        <v>Evening</v>
      </c>
    </row>
    <row r="122" spans="1:12" x14ac:dyDescent="0.35">
      <c r="A122" s="3" t="s">
        <v>250</v>
      </c>
      <c r="B122" s="3" t="s">
        <v>251</v>
      </c>
      <c r="C122" s="6">
        <v>46187.75</v>
      </c>
      <c r="D122" s="3" t="s">
        <v>12</v>
      </c>
      <c r="E122" s="3" t="s">
        <v>13</v>
      </c>
      <c r="F122" s="3" t="s">
        <v>19</v>
      </c>
      <c r="G122" s="3" t="s">
        <v>15</v>
      </c>
      <c r="H122" s="3">
        <v>32</v>
      </c>
      <c r="I122" s="3">
        <v>1000</v>
      </c>
      <c r="J122" s="3" t="s">
        <v>26</v>
      </c>
      <c r="K122" s="3" t="str">
        <f t="shared" si="2"/>
        <v>Sunday</v>
      </c>
      <c r="L122" s="3" t="str">
        <f t="shared" si="3"/>
        <v>Late Evening</v>
      </c>
    </row>
    <row r="123" spans="1:12" x14ac:dyDescent="0.35">
      <c r="A123" s="3" t="s">
        <v>252</v>
      </c>
      <c r="B123" s="3" t="s">
        <v>253</v>
      </c>
      <c r="C123" s="6">
        <v>46173.46875</v>
      </c>
      <c r="D123" s="3" t="s">
        <v>12</v>
      </c>
      <c r="E123" s="3" t="s">
        <v>24</v>
      </c>
      <c r="F123" s="3" t="s">
        <v>14</v>
      </c>
      <c r="G123" s="3" t="s">
        <v>15</v>
      </c>
      <c r="H123" s="3">
        <v>39</v>
      </c>
      <c r="I123" s="3">
        <v>1000</v>
      </c>
      <c r="J123" s="3" t="s">
        <v>16</v>
      </c>
      <c r="K123" s="3" t="str">
        <f t="shared" si="2"/>
        <v>Sunday</v>
      </c>
      <c r="L123" s="3" t="str">
        <f t="shared" si="3"/>
        <v>Afternoon</v>
      </c>
    </row>
    <row r="124" spans="1:12" x14ac:dyDescent="0.35">
      <c r="A124" s="3" t="s">
        <v>254</v>
      </c>
      <c r="B124" s="3" t="s">
        <v>255</v>
      </c>
      <c r="C124" s="6">
        <v>46161.510416666657</v>
      </c>
      <c r="D124" s="3" t="s">
        <v>53</v>
      </c>
      <c r="E124" s="3" t="s">
        <v>24</v>
      </c>
      <c r="F124" s="3" t="s">
        <v>14</v>
      </c>
      <c r="G124" s="3" t="s">
        <v>15</v>
      </c>
      <c r="H124" s="3">
        <v>47</v>
      </c>
      <c r="I124" s="3">
        <v>800</v>
      </c>
      <c r="J124" s="3" t="s">
        <v>16</v>
      </c>
      <c r="K124" s="3" t="str">
        <f t="shared" si="2"/>
        <v>Tuesday</v>
      </c>
      <c r="L124" s="3" t="str">
        <f t="shared" si="3"/>
        <v>Afternoon</v>
      </c>
    </row>
    <row r="125" spans="1:12" x14ac:dyDescent="0.35">
      <c r="A125" s="3" t="s">
        <v>256</v>
      </c>
      <c r="B125" s="3" t="s">
        <v>257</v>
      </c>
      <c r="C125" s="6">
        <v>46027.4375</v>
      </c>
      <c r="D125" s="3" t="s">
        <v>23</v>
      </c>
      <c r="E125" s="3" t="s">
        <v>13</v>
      </c>
      <c r="F125" s="3" t="s">
        <v>54</v>
      </c>
      <c r="G125" s="3" t="s">
        <v>15</v>
      </c>
      <c r="H125" s="3">
        <v>23</v>
      </c>
      <c r="I125" s="3">
        <v>800</v>
      </c>
      <c r="J125" s="3" t="s">
        <v>26</v>
      </c>
      <c r="K125" s="3" t="str">
        <f t="shared" si="2"/>
        <v>Monday</v>
      </c>
      <c r="L125" s="3" t="str">
        <f t="shared" si="3"/>
        <v>Morning</v>
      </c>
    </row>
    <row r="126" spans="1:12" x14ac:dyDescent="0.35">
      <c r="A126" s="3" t="s">
        <v>258</v>
      </c>
      <c r="B126" s="3" t="s">
        <v>259</v>
      </c>
      <c r="C126" s="6">
        <v>46137.583333333343</v>
      </c>
      <c r="D126" s="3" t="s">
        <v>31</v>
      </c>
      <c r="E126" s="3" t="s">
        <v>47</v>
      </c>
      <c r="F126" s="3" t="s">
        <v>14</v>
      </c>
      <c r="G126" s="3" t="s">
        <v>15</v>
      </c>
      <c r="H126" s="3">
        <v>25</v>
      </c>
      <c r="I126" s="3">
        <v>900</v>
      </c>
      <c r="J126" s="3" t="s">
        <v>16</v>
      </c>
      <c r="K126" s="3" t="str">
        <f t="shared" si="2"/>
        <v>Saturday</v>
      </c>
      <c r="L126" s="3" t="str">
        <f t="shared" si="3"/>
        <v>Evening</v>
      </c>
    </row>
    <row r="127" spans="1:12" x14ac:dyDescent="0.35">
      <c r="A127" s="3" t="s">
        <v>260</v>
      </c>
      <c r="B127" s="3" t="s">
        <v>61</v>
      </c>
      <c r="C127" s="6">
        <v>46038.697916666657</v>
      </c>
      <c r="D127" s="3" t="s">
        <v>79</v>
      </c>
      <c r="E127" s="3" t="s">
        <v>13</v>
      </c>
      <c r="F127" s="3" t="s">
        <v>54</v>
      </c>
      <c r="G127" s="3" t="s">
        <v>15</v>
      </c>
      <c r="H127" s="3">
        <v>18</v>
      </c>
      <c r="I127" s="3">
        <v>700</v>
      </c>
      <c r="J127" s="3" t="s">
        <v>26</v>
      </c>
      <c r="K127" s="3" t="str">
        <f t="shared" si="2"/>
        <v>Friday</v>
      </c>
      <c r="L127" s="3" t="str">
        <f t="shared" si="3"/>
        <v>Evening</v>
      </c>
    </row>
    <row r="128" spans="1:12" x14ac:dyDescent="0.35">
      <c r="A128" s="3" t="s">
        <v>261</v>
      </c>
      <c r="B128" s="3" t="s">
        <v>202</v>
      </c>
      <c r="C128" s="6">
        <v>46178.416666666657</v>
      </c>
      <c r="D128" s="3" t="s">
        <v>31</v>
      </c>
      <c r="E128" s="3" t="s">
        <v>41</v>
      </c>
      <c r="F128" s="3" t="s">
        <v>25</v>
      </c>
      <c r="G128" s="3" t="s">
        <v>15</v>
      </c>
      <c r="H128" s="3">
        <v>45</v>
      </c>
      <c r="I128" s="3">
        <v>1000</v>
      </c>
      <c r="J128" s="3" t="s">
        <v>16</v>
      </c>
      <c r="K128" s="3" t="str">
        <f t="shared" si="2"/>
        <v>Friday</v>
      </c>
      <c r="L128" s="3" t="str">
        <f t="shared" si="3"/>
        <v>Morning</v>
      </c>
    </row>
    <row r="129" spans="1:12" x14ac:dyDescent="0.35">
      <c r="A129" s="3" t="s">
        <v>262</v>
      </c>
      <c r="B129" s="3" t="s">
        <v>219</v>
      </c>
      <c r="C129" s="6">
        <v>46139.739583333343</v>
      </c>
      <c r="D129" s="3" t="s">
        <v>50</v>
      </c>
      <c r="E129" s="3" t="s">
        <v>47</v>
      </c>
      <c r="F129" s="3" t="s">
        <v>19</v>
      </c>
      <c r="G129" s="3" t="s">
        <v>15</v>
      </c>
      <c r="H129" s="3">
        <v>31</v>
      </c>
      <c r="I129" s="3">
        <v>500</v>
      </c>
      <c r="J129" s="3" t="s">
        <v>16</v>
      </c>
      <c r="K129" s="3" t="str">
        <f t="shared" si="2"/>
        <v>Monday</v>
      </c>
      <c r="L129" s="3" t="str">
        <f t="shared" si="3"/>
        <v>Late Evening</v>
      </c>
    </row>
    <row r="130" spans="1:12" x14ac:dyDescent="0.35">
      <c r="A130" s="3" t="s">
        <v>263</v>
      </c>
      <c r="B130" s="3" t="s">
        <v>264</v>
      </c>
      <c r="C130" s="6">
        <v>46128.614583333343</v>
      </c>
      <c r="D130" s="3" t="s">
        <v>79</v>
      </c>
      <c r="E130" s="3" t="s">
        <v>47</v>
      </c>
      <c r="F130" s="3" t="s">
        <v>14</v>
      </c>
      <c r="G130" s="3" t="s">
        <v>15</v>
      </c>
      <c r="H130" s="3">
        <v>18</v>
      </c>
      <c r="I130" s="3">
        <v>800</v>
      </c>
      <c r="J130" s="3" t="s">
        <v>16</v>
      </c>
      <c r="K130" s="3" t="str">
        <f t="shared" si="2"/>
        <v>Thursday</v>
      </c>
      <c r="L130" s="3" t="str">
        <f t="shared" si="3"/>
        <v>Evening</v>
      </c>
    </row>
    <row r="131" spans="1:12" x14ac:dyDescent="0.35">
      <c r="A131" s="3" t="s">
        <v>265</v>
      </c>
      <c r="B131" s="3" t="s">
        <v>117</v>
      </c>
      <c r="C131" s="6">
        <v>46193.520833333343</v>
      </c>
      <c r="D131" s="3" t="s">
        <v>46</v>
      </c>
      <c r="E131" s="3" t="s">
        <v>13</v>
      </c>
      <c r="F131" s="3" t="s">
        <v>14</v>
      </c>
      <c r="G131" s="3" t="s">
        <v>15</v>
      </c>
      <c r="H131" s="3">
        <v>31</v>
      </c>
      <c r="I131" s="3">
        <v>800</v>
      </c>
      <c r="J131" s="3" t="s">
        <v>26</v>
      </c>
      <c r="K131" s="3" t="str">
        <f t="shared" ref="K131:K194" si="4">TEXT(C131,"dddd")</f>
        <v>Saturday</v>
      </c>
      <c r="L131" s="3" t="str">
        <f t="shared" ref="L131:L194" si="5">IF(HOUR(C131)&lt;11,"Morning",IF(HOUR(C131)&lt;14,"Afternoon",IF(HOUR(C131)&lt;17,"Evening","Late Evening")))</f>
        <v>Afternoon</v>
      </c>
    </row>
    <row r="132" spans="1:12" x14ac:dyDescent="0.35">
      <c r="A132" s="3" t="s">
        <v>266</v>
      </c>
      <c r="B132" s="3" t="s">
        <v>267</v>
      </c>
      <c r="C132" s="6">
        <v>46047.59375</v>
      </c>
      <c r="D132" s="3" t="s">
        <v>31</v>
      </c>
      <c r="E132" s="3" t="s">
        <v>47</v>
      </c>
      <c r="F132" s="3" t="s">
        <v>25</v>
      </c>
      <c r="G132" s="3" t="s">
        <v>20</v>
      </c>
      <c r="H132" s="3">
        <v>0</v>
      </c>
      <c r="I132" s="3">
        <v>1000</v>
      </c>
      <c r="J132" s="3" t="s">
        <v>26</v>
      </c>
      <c r="K132" s="3" t="str">
        <f t="shared" si="4"/>
        <v>Sunday</v>
      </c>
      <c r="L132" s="3" t="str">
        <f t="shared" si="5"/>
        <v>Evening</v>
      </c>
    </row>
    <row r="133" spans="1:12" x14ac:dyDescent="0.35">
      <c r="A133" s="3" t="s">
        <v>268</v>
      </c>
      <c r="B133" s="3" t="s">
        <v>269</v>
      </c>
      <c r="C133" s="6">
        <v>46193.625</v>
      </c>
      <c r="D133" s="3" t="s">
        <v>46</v>
      </c>
      <c r="E133" s="3" t="s">
        <v>41</v>
      </c>
      <c r="F133" s="3" t="s">
        <v>25</v>
      </c>
      <c r="G133" s="3" t="s">
        <v>15</v>
      </c>
      <c r="H133" s="3">
        <v>26</v>
      </c>
      <c r="I133" s="3">
        <v>600</v>
      </c>
      <c r="J133" s="3" t="s">
        <v>26</v>
      </c>
      <c r="K133" s="3" t="str">
        <f t="shared" si="4"/>
        <v>Saturday</v>
      </c>
      <c r="L133" s="3" t="str">
        <f t="shared" si="5"/>
        <v>Evening</v>
      </c>
    </row>
    <row r="134" spans="1:12" x14ac:dyDescent="0.35">
      <c r="A134" s="3" t="s">
        <v>270</v>
      </c>
      <c r="B134" s="3" t="s">
        <v>28</v>
      </c>
      <c r="C134" s="6">
        <v>46062.677083333343</v>
      </c>
      <c r="D134" s="3" t="s">
        <v>40</v>
      </c>
      <c r="E134" s="3" t="s">
        <v>37</v>
      </c>
      <c r="F134" s="3" t="s">
        <v>25</v>
      </c>
      <c r="G134" s="3" t="s">
        <v>15</v>
      </c>
      <c r="H134" s="3">
        <v>39</v>
      </c>
      <c r="I134" s="3">
        <v>500</v>
      </c>
      <c r="J134" s="3" t="s">
        <v>26</v>
      </c>
      <c r="K134" s="3" t="str">
        <f t="shared" si="4"/>
        <v>Monday</v>
      </c>
      <c r="L134" s="3" t="str">
        <f t="shared" si="5"/>
        <v>Evening</v>
      </c>
    </row>
    <row r="135" spans="1:12" x14ac:dyDescent="0.35">
      <c r="A135" s="3" t="s">
        <v>271</v>
      </c>
      <c r="B135" s="3" t="s">
        <v>272</v>
      </c>
      <c r="C135" s="6">
        <v>46132.708333333343</v>
      </c>
      <c r="D135" s="3" t="s">
        <v>99</v>
      </c>
      <c r="E135" s="3" t="s">
        <v>37</v>
      </c>
      <c r="F135" s="3" t="s">
        <v>19</v>
      </c>
      <c r="G135" s="3" t="s">
        <v>20</v>
      </c>
      <c r="H135" s="3">
        <v>0</v>
      </c>
      <c r="I135" s="3">
        <v>600</v>
      </c>
      <c r="J135" s="3" t="s">
        <v>16</v>
      </c>
      <c r="K135" s="3" t="str">
        <f t="shared" si="4"/>
        <v>Monday</v>
      </c>
      <c r="L135" s="3" t="str">
        <f t="shared" si="5"/>
        <v>Late Evening</v>
      </c>
    </row>
    <row r="136" spans="1:12" x14ac:dyDescent="0.35">
      <c r="A136" s="3" t="s">
        <v>273</v>
      </c>
      <c r="B136" s="3" t="s">
        <v>274</v>
      </c>
      <c r="C136" s="6">
        <v>46112.34375</v>
      </c>
      <c r="D136" s="3" t="s">
        <v>36</v>
      </c>
      <c r="E136" s="3" t="s">
        <v>24</v>
      </c>
      <c r="F136" s="3" t="s">
        <v>54</v>
      </c>
      <c r="G136" s="3" t="s">
        <v>15</v>
      </c>
      <c r="H136" s="3">
        <v>13</v>
      </c>
      <c r="I136" s="3">
        <v>500</v>
      </c>
      <c r="J136" s="3" t="s">
        <v>26</v>
      </c>
      <c r="K136" s="3" t="str">
        <f t="shared" si="4"/>
        <v>Tuesday</v>
      </c>
      <c r="L136" s="3" t="str">
        <f t="shared" si="5"/>
        <v>Morning</v>
      </c>
    </row>
    <row r="137" spans="1:12" x14ac:dyDescent="0.35">
      <c r="A137" s="3" t="s">
        <v>275</v>
      </c>
      <c r="B137" s="3" t="s">
        <v>276</v>
      </c>
      <c r="C137" s="6">
        <v>46046.71875</v>
      </c>
      <c r="D137" s="3" t="s">
        <v>53</v>
      </c>
      <c r="E137" s="3" t="s">
        <v>37</v>
      </c>
      <c r="F137" s="3" t="s">
        <v>25</v>
      </c>
      <c r="G137" s="3" t="s">
        <v>15</v>
      </c>
      <c r="H137" s="3">
        <v>26</v>
      </c>
      <c r="I137" s="3">
        <v>900</v>
      </c>
      <c r="J137" s="3" t="s">
        <v>26</v>
      </c>
      <c r="K137" s="3" t="str">
        <f t="shared" si="4"/>
        <v>Saturday</v>
      </c>
      <c r="L137" s="3" t="str">
        <f t="shared" si="5"/>
        <v>Late Evening</v>
      </c>
    </row>
    <row r="138" spans="1:12" x14ac:dyDescent="0.35">
      <c r="A138" s="3" t="s">
        <v>277</v>
      </c>
      <c r="B138" s="3" t="s">
        <v>227</v>
      </c>
      <c r="C138" s="6">
        <v>46106.75</v>
      </c>
      <c r="D138" s="3" t="s">
        <v>36</v>
      </c>
      <c r="E138" s="3" t="s">
        <v>37</v>
      </c>
      <c r="F138" s="3" t="s">
        <v>14</v>
      </c>
      <c r="G138" s="3" t="s">
        <v>15</v>
      </c>
      <c r="H138" s="3">
        <v>17</v>
      </c>
      <c r="I138" s="3">
        <v>600</v>
      </c>
      <c r="J138" s="3" t="s">
        <v>26</v>
      </c>
      <c r="K138" s="3" t="str">
        <f t="shared" si="4"/>
        <v>Wednesday</v>
      </c>
      <c r="L138" s="3" t="str">
        <f t="shared" si="5"/>
        <v>Late Evening</v>
      </c>
    </row>
    <row r="139" spans="1:12" x14ac:dyDescent="0.35">
      <c r="A139" s="3" t="s">
        <v>278</v>
      </c>
      <c r="B139" s="3" t="s">
        <v>279</v>
      </c>
      <c r="C139" s="6">
        <v>46192.65625</v>
      </c>
      <c r="D139" s="3" t="s">
        <v>36</v>
      </c>
      <c r="E139" s="3" t="s">
        <v>41</v>
      </c>
      <c r="F139" s="3" t="s">
        <v>25</v>
      </c>
      <c r="G139" s="3" t="s">
        <v>20</v>
      </c>
      <c r="H139" s="3">
        <v>0</v>
      </c>
      <c r="I139" s="3">
        <v>700</v>
      </c>
      <c r="J139" s="3" t="s">
        <v>26</v>
      </c>
      <c r="K139" s="3" t="str">
        <f t="shared" si="4"/>
        <v>Friday</v>
      </c>
      <c r="L139" s="3" t="str">
        <f t="shared" si="5"/>
        <v>Evening</v>
      </c>
    </row>
    <row r="140" spans="1:12" x14ac:dyDescent="0.35">
      <c r="A140" s="3" t="s">
        <v>280</v>
      </c>
      <c r="B140" s="3" t="s">
        <v>163</v>
      </c>
      <c r="C140" s="6">
        <v>46111.625</v>
      </c>
      <c r="D140" s="3" t="s">
        <v>40</v>
      </c>
      <c r="E140" s="3" t="s">
        <v>24</v>
      </c>
      <c r="F140" s="3" t="s">
        <v>25</v>
      </c>
      <c r="G140" s="3" t="s">
        <v>15</v>
      </c>
      <c r="H140" s="3">
        <v>10</v>
      </c>
      <c r="I140" s="3">
        <v>400</v>
      </c>
      <c r="J140" s="3" t="s">
        <v>26</v>
      </c>
      <c r="K140" s="3" t="str">
        <f t="shared" si="4"/>
        <v>Monday</v>
      </c>
      <c r="L140" s="3" t="str">
        <f t="shared" si="5"/>
        <v>Evening</v>
      </c>
    </row>
    <row r="141" spans="1:12" x14ac:dyDescent="0.35">
      <c r="A141" s="3" t="s">
        <v>281</v>
      </c>
      <c r="B141" s="3" t="s">
        <v>282</v>
      </c>
      <c r="C141" s="6">
        <v>46176.333333333343</v>
      </c>
      <c r="D141" s="3" t="s">
        <v>23</v>
      </c>
      <c r="E141" s="3" t="s">
        <v>37</v>
      </c>
      <c r="F141" s="3" t="s">
        <v>19</v>
      </c>
      <c r="G141" s="3" t="s">
        <v>15</v>
      </c>
      <c r="H141" s="3">
        <v>33</v>
      </c>
      <c r="I141" s="3">
        <v>800</v>
      </c>
      <c r="J141" s="3" t="s">
        <v>26</v>
      </c>
      <c r="K141" s="3" t="str">
        <f t="shared" si="4"/>
        <v>Wednesday</v>
      </c>
      <c r="L141" s="3" t="str">
        <f t="shared" si="5"/>
        <v>Morning</v>
      </c>
    </row>
    <row r="142" spans="1:12" x14ac:dyDescent="0.35">
      <c r="A142" s="3" t="s">
        <v>283</v>
      </c>
      <c r="B142" s="3" t="s">
        <v>284</v>
      </c>
      <c r="C142" s="6">
        <v>46106.375</v>
      </c>
      <c r="D142" s="3" t="s">
        <v>36</v>
      </c>
      <c r="E142" s="3" t="s">
        <v>41</v>
      </c>
      <c r="F142" s="3" t="s">
        <v>19</v>
      </c>
      <c r="G142" s="3" t="s">
        <v>15</v>
      </c>
      <c r="H142" s="3">
        <v>25</v>
      </c>
      <c r="I142" s="3">
        <v>700</v>
      </c>
      <c r="J142" s="3" t="s">
        <v>16</v>
      </c>
      <c r="K142" s="3" t="str">
        <f t="shared" si="4"/>
        <v>Wednesday</v>
      </c>
      <c r="L142" s="3" t="str">
        <f t="shared" si="5"/>
        <v>Morning</v>
      </c>
    </row>
    <row r="143" spans="1:12" x14ac:dyDescent="0.35">
      <c r="A143" s="3" t="s">
        <v>285</v>
      </c>
      <c r="B143" s="3" t="s">
        <v>286</v>
      </c>
      <c r="C143" s="6">
        <v>46151.729166666657</v>
      </c>
      <c r="D143" s="3" t="s">
        <v>40</v>
      </c>
      <c r="E143" s="3" t="s">
        <v>13</v>
      </c>
      <c r="F143" s="3" t="s">
        <v>14</v>
      </c>
      <c r="G143" s="3" t="s">
        <v>15</v>
      </c>
      <c r="H143" s="3">
        <v>28</v>
      </c>
      <c r="I143" s="3">
        <v>600</v>
      </c>
      <c r="J143" s="3" t="s">
        <v>16</v>
      </c>
      <c r="K143" s="3" t="str">
        <f t="shared" si="4"/>
        <v>Saturday</v>
      </c>
      <c r="L143" s="3" t="str">
        <f t="shared" si="5"/>
        <v>Late Evening</v>
      </c>
    </row>
    <row r="144" spans="1:12" x14ac:dyDescent="0.35">
      <c r="A144" s="3" t="s">
        <v>287</v>
      </c>
      <c r="B144" s="3" t="s">
        <v>288</v>
      </c>
      <c r="C144" s="6">
        <v>46042.614583333343</v>
      </c>
      <c r="D144" s="3" t="s">
        <v>31</v>
      </c>
      <c r="E144" s="3" t="s">
        <v>13</v>
      </c>
      <c r="F144" s="3" t="s">
        <v>54</v>
      </c>
      <c r="G144" s="3" t="s">
        <v>20</v>
      </c>
      <c r="H144" s="3">
        <v>0</v>
      </c>
      <c r="I144" s="3">
        <v>1100</v>
      </c>
      <c r="J144" s="3" t="s">
        <v>16</v>
      </c>
      <c r="K144" s="3" t="str">
        <f t="shared" si="4"/>
        <v>Tuesday</v>
      </c>
      <c r="L144" s="3" t="str">
        <f t="shared" si="5"/>
        <v>Evening</v>
      </c>
    </row>
    <row r="145" spans="1:12" x14ac:dyDescent="0.35">
      <c r="A145" s="3" t="s">
        <v>289</v>
      </c>
      <c r="B145" s="3" t="s">
        <v>290</v>
      </c>
      <c r="C145" s="6">
        <v>46028.59375</v>
      </c>
      <c r="D145" s="3" t="s">
        <v>31</v>
      </c>
      <c r="E145" s="3" t="s">
        <v>47</v>
      </c>
      <c r="F145" s="3" t="s">
        <v>25</v>
      </c>
      <c r="G145" s="3" t="s">
        <v>20</v>
      </c>
      <c r="H145" s="3">
        <v>0</v>
      </c>
      <c r="I145" s="3">
        <v>1100</v>
      </c>
      <c r="J145" s="3" t="s">
        <v>26</v>
      </c>
      <c r="K145" s="3" t="str">
        <f t="shared" si="4"/>
        <v>Tuesday</v>
      </c>
      <c r="L145" s="3" t="str">
        <f t="shared" si="5"/>
        <v>Evening</v>
      </c>
    </row>
    <row r="146" spans="1:12" x14ac:dyDescent="0.35">
      <c r="A146" s="3" t="s">
        <v>291</v>
      </c>
      <c r="B146" s="3" t="s">
        <v>90</v>
      </c>
      <c r="C146" s="6">
        <v>46085.65625</v>
      </c>
      <c r="D146" s="3" t="s">
        <v>79</v>
      </c>
      <c r="E146" s="3" t="s">
        <v>24</v>
      </c>
      <c r="F146" s="3" t="s">
        <v>25</v>
      </c>
      <c r="G146" s="3" t="s">
        <v>20</v>
      </c>
      <c r="H146" s="3">
        <v>0</v>
      </c>
      <c r="I146" s="3">
        <v>700</v>
      </c>
      <c r="J146" s="3" t="s">
        <v>16</v>
      </c>
      <c r="K146" s="3" t="str">
        <f t="shared" si="4"/>
        <v>Wednesday</v>
      </c>
      <c r="L146" s="3" t="str">
        <f t="shared" si="5"/>
        <v>Evening</v>
      </c>
    </row>
    <row r="147" spans="1:12" x14ac:dyDescent="0.35">
      <c r="A147" s="3" t="s">
        <v>292</v>
      </c>
      <c r="B147" s="3" t="s">
        <v>293</v>
      </c>
      <c r="C147" s="6">
        <v>46066.375</v>
      </c>
      <c r="D147" s="3" t="s">
        <v>23</v>
      </c>
      <c r="E147" s="3" t="s">
        <v>24</v>
      </c>
      <c r="F147" s="3" t="s">
        <v>25</v>
      </c>
      <c r="G147" s="3" t="s">
        <v>20</v>
      </c>
      <c r="H147" s="3">
        <v>0</v>
      </c>
      <c r="I147" s="3">
        <v>700</v>
      </c>
      <c r="J147" s="3" t="s">
        <v>16</v>
      </c>
      <c r="K147" s="3" t="str">
        <f t="shared" si="4"/>
        <v>Friday</v>
      </c>
      <c r="L147" s="3" t="str">
        <f t="shared" si="5"/>
        <v>Morning</v>
      </c>
    </row>
    <row r="148" spans="1:12" x14ac:dyDescent="0.35">
      <c r="A148" s="3" t="s">
        <v>294</v>
      </c>
      <c r="B148" s="3" t="s">
        <v>98</v>
      </c>
      <c r="C148" s="6">
        <v>46049.4375</v>
      </c>
      <c r="D148" s="3" t="s">
        <v>53</v>
      </c>
      <c r="E148" s="3" t="s">
        <v>24</v>
      </c>
      <c r="F148" s="3" t="s">
        <v>19</v>
      </c>
      <c r="G148" s="3" t="s">
        <v>15</v>
      </c>
      <c r="H148" s="3">
        <v>27</v>
      </c>
      <c r="I148" s="3">
        <v>800</v>
      </c>
      <c r="J148" s="3" t="s">
        <v>26</v>
      </c>
      <c r="K148" s="3" t="str">
        <f t="shared" si="4"/>
        <v>Tuesday</v>
      </c>
      <c r="L148" s="3" t="str">
        <f t="shared" si="5"/>
        <v>Morning</v>
      </c>
    </row>
    <row r="149" spans="1:12" x14ac:dyDescent="0.35">
      <c r="A149" s="3" t="s">
        <v>295</v>
      </c>
      <c r="B149" s="3" t="s">
        <v>296</v>
      </c>
      <c r="C149" s="6">
        <v>46141.78125</v>
      </c>
      <c r="D149" s="3" t="s">
        <v>23</v>
      </c>
      <c r="E149" s="3" t="s">
        <v>24</v>
      </c>
      <c r="F149" s="3" t="s">
        <v>25</v>
      </c>
      <c r="G149" s="3" t="s">
        <v>57</v>
      </c>
      <c r="H149" s="3">
        <v>0</v>
      </c>
      <c r="I149" s="3">
        <v>700</v>
      </c>
      <c r="J149" s="3" t="s">
        <v>16</v>
      </c>
      <c r="K149" s="3" t="str">
        <f t="shared" si="4"/>
        <v>Wednesday</v>
      </c>
      <c r="L149" s="3" t="str">
        <f t="shared" si="5"/>
        <v>Late Evening</v>
      </c>
    </row>
    <row r="150" spans="1:12" x14ac:dyDescent="0.35">
      <c r="A150" s="3" t="s">
        <v>297</v>
      </c>
      <c r="B150" s="3" t="s">
        <v>298</v>
      </c>
      <c r="C150" s="6">
        <v>46040.697916666657</v>
      </c>
      <c r="D150" s="3" t="s">
        <v>23</v>
      </c>
      <c r="E150" s="3" t="s">
        <v>37</v>
      </c>
      <c r="F150" s="3" t="s">
        <v>25</v>
      </c>
      <c r="G150" s="3" t="s">
        <v>57</v>
      </c>
      <c r="H150" s="3">
        <v>0</v>
      </c>
      <c r="I150" s="3">
        <v>800</v>
      </c>
      <c r="J150" s="3" t="s">
        <v>26</v>
      </c>
      <c r="K150" s="3" t="str">
        <f t="shared" si="4"/>
        <v>Sunday</v>
      </c>
      <c r="L150" s="3" t="str">
        <f t="shared" si="5"/>
        <v>Evening</v>
      </c>
    </row>
    <row r="151" spans="1:12" x14ac:dyDescent="0.35">
      <c r="A151" s="3" t="s">
        <v>299</v>
      </c>
      <c r="B151" s="3" t="s">
        <v>300</v>
      </c>
      <c r="C151" s="6">
        <v>46102.697916666657</v>
      </c>
      <c r="D151" s="3" t="s">
        <v>99</v>
      </c>
      <c r="E151" s="3" t="s">
        <v>13</v>
      </c>
      <c r="F151" s="3" t="s">
        <v>25</v>
      </c>
      <c r="G151" s="3" t="s">
        <v>15</v>
      </c>
      <c r="H151" s="3">
        <v>5</v>
      </c>
      <c r="I151" s="3">
        <v>600</v>
      </c>
      <c r="J151" s="3" t="s">
        <v>26</v>
      </c>
      <c r="K151" s="3" t="str">
        <f t="shared" si="4"/>
        <v>Saturday</v>
      </c>
      <c r="L151" s="3" t="str">
        <f t="shared" si="5"/>
        <v>Evening</v>
      </c>
    </row>
    <row r="152" spans="1:12" x14ac:dyDescent="0.35">
      <c r="A152" s="3" t="s">
        <v>301</v>
      </c>
      <c r="B152" s="3" t="s">
        <v>243</v>
      </c>
      <c r="C152" s="6">
        <v>46141.75</v>
      </c>
      <c r="D152" s="3" t="s">
        <v>31</v>
      </c>
      <c r="E152" s="3" t="s">
        <v>41</v>
      </c>
      <c r="F152" s="3" t="s">
        <v>19</v>
      </c>
      <c r="G152" s="3" t="s">
        <v>15</v>
      </c>
      <c r="H152" s="3">
        <v>29</v>
      </c>
      <c r="I152" s="3">
        <v>900</v>
      </c>
      <c r="J152" s="3" t="s">
        <v>16</v>
      </c>
      <c r="K152" s="3" t="str">
        <f t="shared" si="4"/>
        <v>Wednesday</v>
      </c>
      <c r="L152" s="3" t="str">
        <f t="shared" si="5"/>
        <v>Late Evening</v>
      </c>
    </row>
    <row r="153" spans="1:12" x14ac:dyDescent="0.35">
      <c r="A153" s="3" t="s">
        <v>302</v>
      </c>
      <c r="B153" s="3" t="s">
        <v>303</v>
      </c>
      <c r="C153" s="6">
        <v>46151.416666666657</v>
      </c>
      <c r="D153" s="3" t="s">
        <v>50</v>
      </c>
      <c r="E153" s="3" t="s">
        <v>41</v>
      </c>
      <c r="F153" s="3" t="s">
        <v>25</v>
      </c>
      <c r="G153" s="3" t="s">
        <v>15</v>
      </c>
      <c r="H153" s="3">
        <v>23</v>
      </c>
      <c r="I153" s="3">
        <v>500</v>
      </c>
      <c r="J153" s="3" t="s">
        <v>26</v>
      </c>
      <c r="K153" s="3" t="str">
        <f t="shared" si="4"/>
        <v>Saturday</v>
      </c>
      <c r="L153" s="3" t="str">
        <f t="shared" si="5"/>
        <v>Morning</v>
      </c>
    </row>
    <row r="154" spans="1:12" x14ac:dyDescent="0.35">
      <c r="A154" s="3" t="s">
        <v>304</v>
      </c>
      <c r="B154" s="3" t="s">
        <v>305</v>
      </c>
      <c r="C154" s="6">
        <v>46033.489583333343</v>
      </c>
      <c r="D154" s="3" t="s">
        <v>40</v>
      </c>
      <c r="E154" s="3" t="s">
        <v>37</v>
      </c>
      <c r="F154" s="3" t="s">
        <v>19</v>
      </c>
      <c r="G154" s="3" t="s">
        <v>15</v>
      </c>
      <c r="H154" s="3">
        <v>18</v>
      </c>
      <c r="I154" s="3">
        <v>400</v>
      </c>
      <c r="J154" s="3" t="s">
        <v>16</v>
      </c>
      <c r="K154" s="3" t="str">
        <f t="shared" si="4"/>
        <v>Sunday</v>
      </c>
      <c r="L154" s="3" t="str">
        <f t="shared" si="5"/>
        <v>Afternoon</v>
      </c>
    </row>
    <row r="155" spans="1:12" x14ac:dyDescent="0.35">
      <c r="A155" s="3" t="s">
        <v>306</v>
      </c>
      <c r="B155" s="3" t="s">
        <v>307</v>
      </c>
      <c r="C155" s="6">
        <v>46122.645833333343</v>
      </c>
      <c r="D155" s="3" t="s">
        <v>36</v>
      </c>
      <c r="E155" s="3" t="s">
        <v>37</v>
      </c>
      <c r="F155" s="3" t="s">
        <v>25</v>
      </c>
      <c r="G155" s="3" t="s">
        <v>57</v>
      </c>
      <c r="H155" s="3">
        <v>0</v>
      </c>
      <c r="I155" s="3">
        <v>500</v>
      </c>
      <c r="J155" s="3" t="s">
        <v>26</v>
      </c>
      <c r="K155" s="3" t="str">
        <f t="shared" si="4"/>
        <v>Friday</v>
      </c>
      <c r="L155" s="3" t="str">
        <f t="shared" si="5"/>
        <v>Evening</v>
      </c>
    </row>
    <row r="156" spans="1:12" x14ac:dyDescent="0.35">
      <c r="A156" s="3" t="s">
        <v>308</v>
      </c>
      <c r="B156" s="3" t="s">
        <v>65</v>
      </c>
      <c r="C156" s="6">
        <v>46165.645833333343</v>
      </c>
      <c r="D156" s="3" t="s">
        <v>99</v>
      </c>
      <c r="E156" s="3" t="s">
        <v>13</v>
      </c>
      <c r="F156" s="3" t="s">
        <v>19</v>
      </c>
      <c r="G156" s="3" t="s">
        <v>15</v>
      </c>
      <c r="H156" s="3">
        <v>20</v>
      </c>
      <c r="I156" s="3">
        <v>500</v>
      </c>
      <c r="J156" s="3" t="s">
        <v>16</v>
      </c>
      <c r="K156" s="3" t="str">
        <f t="shared" si="4"/>
        <v>Saturday</v>
      </c>
      <c r="L156" s="3" t="str">
        <f t="shared" si="5"/>
        <v>Evening</v>
      </c>
    </row>
    <row r="157" spans="1:12" x14ac:dyDescent="0.35">
      <c r="A157" s="3" t="s">
        <v>309</v>
      </c>
      <c r="B157" s="3" t="s">
        <v>288</v>
      </c>
      <c r="C157" s="6">
        <v>46112.53125</v>
      </c>
      <c r="D157" s="3" t="s">
        <v>12</v>
      </c>
      <c r="E157" s="3" t="s">
        <v>41</v>
      </c>
      <c r="F157" s="3" t="s">
        <v>14</v>
      </c>
      <c r="G157" s="3" t="s">
        <v>15</v>
      </c>
      <c r="H157" s="3">
        <v>39</v>
      </c>
      <c r="I157" s="3">
        <v>900</v>
      </c>
      <c r="J157" s="3" t="s">
        <v>16</v>
      </c>
      <c r="K157" s="3" t="str">
        <f t="shared" si="4"/>
        <v>Tuesday</v>
      </c>
      <c r="L157" s="3" t="str">
        <f t="shared" si="5"/>
        <v>Afternoon</v>
      </c>
    </row>
    <row r="158" spans="1:12" x14ac:dyDescent="0.35">
      <c r="A158" s="3" t="s">
        <v>310</v>
      </c>
      <c r="B158" s="3" t="s">
        <v>49</v>
      </c>
      <c r="C158" s="6">
        <v>46187.59375</v>
      </c>
      <c r="D158" s="3" t="s">
        <v>50</v>
      </c>
      <c r="E158" s="3" t="s">
        <v>13</v>
      </c>
      <c r="F158" s="3" t="s">
        <v>54</v>
      </c>
      <c r="G158" s="3" t="s">
        <v>57</v>
      </c>
      <c r="H158" s="3">
        <v>0</v>
      </c>
      <c r="I158" s="3">
        <v>400</v>
      </c>
      <c r="J158" s="3" t="s">
        <v>16</v>
      </c>
      <c r="K158" s="3" t="str">
        <f t="shared" si="4"/>
        <v>Sunday</v>
      </c>
      <c r="L158" s="3" t="str">
        <f t="shared" si="5"/>
        <v>Evening</v>
      </c>
    </row>
    <row r="159" spans="1:12" x14ac:dyDescent="0.35">
      <c r="A159" s="3" t="s">
        <v>311</v>
      </c>
      <c r="B159" s="3" t="s">
        <v>293</v>
      </c>
      <c r="C159" s="6">
        <v>46102.427083333343</v>
      </c>
      <c r="D159" s="3" t="s">
        <v>31</v>
      </c>
      <c r="E159" s="3" t="s">
        <v>24</v>
      </c>
      <c r="F159" s="3" t="s">
        <v>19</v>
      </c>
      <c r="G159" s="3" t="s">
        <v>15</v>
      </c>
      <c r="H159" s="3">
        <v>57</v>
      </c>
      <c r="I159" s="3">
        <v>1100</v>
      </c>
      <c r="J159" s="3" t="s">
        <v>26</v>
      </c>
      <c r="K159" s="3" t="str">
        <f t="shared" si="4"/>
        <v>Saturday</v>
      </c>
      <c r="L159" s="3" t="str">
        <f t="shared" si="5"/>
        <v>Morning</v>
      </c>
    </row>
    <row r="160" spans="1:12" x14ac:dyDescent="0.35">
      <c r="A160" s="3" t="s">
        <v>312</v>
      </c>
      <c r="B160" s="3" t="s">
        <v>313</v>
      </c>
      <c r="C160" s="6">
        <v>46098.375</v>
      </c>
      <c r="D160" s="3" t="s">
        <v>53</v>
      </c>
      <c r="E160" s="3" t="s">
        <v>24</v>
      </c>
      <c r="F160" s="3" t="s">
        <v>19</v>
      </c>
      <c r="G160" s="3" t="s">
        <v>57</v>
      </c>
      <c r="H160" s="3">
        <v>0</v>
      </c>
      <c r="I160" s="3">
        <v>800</v>
      </c>
      <c r="J160" s="3" t="s">
        <v>16</v>
      </c>
      <c r="K160" s="3" t="str">
        <f t="shared" si="4"/>
        <v>Tuesday</v>
      </c>
      <c r="L160" s="3" t="str">
        <f t="shared" si="5"/>
        <v>Morning</v>
      </c>
    </row>
    <row r="161" spans="1:12" x14ac:dyDescent="0.35">
      <c r="A161" s="3" t="s">
        <v>314</v>
      </c>
      <c r="B161" s="3" t="s">
        <v>214</v>
      </c>
      <c r="C161" s="6">
        <v>46069.760416666657</v>
      </c>
      <c r="D161" s="3" t="s">
        <v>53</v>
      </c>
      <c r="E161" s="3" t="s">
        <v>24</v>
      </c>
      <c r="F161" s="3" t="s">
        <v>54</v>
      </c>
      <c r="G161" s="3" t="s">
        <v>57</v>
      </c>
      <c r="H161" s="3">
        <v>0</v>
      </c>
      <c r="I161" s="3">
        <v>900</v>
      </c>
      <c r="J161" s="3" t="s">
        <v>16</v>
      </c>
      <c r="K161" s="3" t="str">
        <f t="shared" si="4"/>
        <v>Monday</v>
      </c>
      <c r="L161" s="3" t="str">
        <f t="shared" si="5"/>
        <v>Late Evening</v>
      </c>
    </row>
    <row r="162" spans="1:12" x14ac:dyDescent="0.35">
      <c r="A162" s="3" t="s">
        <v>315</v>
      </c>
      <c r="B162" s="3" t="s">
        <v>316</v>
      </c>
      <c r="C162" s="6">
        <v>46179.53125</v>
      </c>
      <c r="D162" s="3" t="s">
        <v>23</v>
      </c>
      <c r="E162" s="3" t="s">
        <v>24</v>
      </c>
      <c r="F162" s="3" t="s">
        <v>25</v>
      </c>
      <c r="G162" s="3" t="s">
        <v>15</v>
      </c>
      <c r="H162" s="3">
        <v>32</v>
      </c>
      <c r="I162" s="3">
        <v>700</v>
      </c>
      <c r="J162" s="3" t="s">
        <v>16</v>
      </c>
      <c r="K162" s="3" t="str">
        <f t="shared" si="4"/>
        <v>Saturday</v>
      </c>
      <c r="L162" s="3" t="str">
        <f t="shared" si="5"/>
        <v>Afternoon</v>
      </c>
    </row>
    <row r="163" spans="1:12" x14ac:dyDescent="0.35">
      <c r="A163" s="3" t="s">
        <v>317</v>
      </c>
      <c r="B163" s="3" t="s">
        <v>318</v>
      </c>
      <c r="C163" s="6">
        <v>46196.78125</v>
      </c>
      <c r="D163" s="3" t="s">
        <v>23</v>
      </c>
      <c r="E163" s="3" t="s">
        <v>24</v>
      </c>
      <c r="F163" s="3" t="s">
        <v>54</v>
      </c>
      <c r="G163" s="3" t="s">
        <v>15</v>
      </c>
      <c r="H163" s="3">
        <v>33</v>
      </c>
      <c r="I163" s="3">
        <v>800</v>
      </c>
      <c r="J163" s="3" t="s">
        <v>16</v>
      </c>
      <c r="K163" s="3" t="str">
        <f t="shared" si="4"/>
        <v>Tuesday</v>
      </c>
      <c r="L163" s="3" t="str">
        <f t="shared" si="5"/>
        <v>Late Evening</v>
      </c>
    </row>
    <row r="164" spans="1:12" x14ac:dyDescent="0.35">
      <c r="A164" s="3" t="s">
        <v>319</v>
      </c>
      <c r="B164" s="3" t="s">
        <v>65</v>
      </c>
      <c r="C164" s="6">
        <v>46177.4375</v>
      </c>
      <c r="D164" s="3" t="s">
        <v>53</v>
      </c>
      <c r="E164" s="3" t="s">
        <v>41</v>
      </c>
      <c r="F164" s="3" t="s">
        <v>25</v>
      </c>
      <c r="G164" s="3" t="s">
        <v>15</v>
      </c>
      <c r="H164" s="3">
        <v>29</v>
      </c>
      <c r="I164" s="3">
        <v>900</v>
      </c>
      <c r="J164" s="3" t="s">
        <v>26</v>
      </c>
      <c r="K164" s="3" t="str">
        <f t="shared" si="4"/>
        <v>Thursday</v>
      </c>
      <c r="L164" s="3" t="str">
        <f t="shared" si="5"/>
        <v>Morning</v>
      </c>
    </row>
    <row r="165" spans="1:12" x14ac:dyDescent="0.35">
      <c r="A165" s="3" t="s">
        <v>320</v>
      </c>
      <c r="B165" s="3" t="s">
        <v>321</v>
      </c>
      <c r="C165" s="6">
        <v>46095.385416666657</v>
      </c>
      <c r="D165" s="3" t="s">
        <v>40</v>
      </c>
      <c r="E165" s="3" t="s">
        <v>13</v>
      </c>
      <c r="F165" s="3" t="s">
        <v>19</v>
      </c>
      <c r="G165" s="3" t="s">
        <v>15</v>
      </c>
      <c r="H165" s="3">
        <v>5</v>
      </c>
      <c r="I165" s="3">
        <v>600</v>
      </c>
      <c r="J165" s="3" t="s">
        <v>16</v>
      </c>
      <c r="K165" s="3" t="str">
        <f t="shared" si="4"/>
        <v>Saturday</v>
      </c>
      <c r="L165" s="3" t="str">
        <f t="shared" si="5"/>
        <v>Morning</v>
      </c>
    </row>
    <row r="166" spans="1:12" x14ac:dyDescent="0.35">
      <c r="A166" s="3" t="s">
        <v>322</v>
      </c>
      <c r="B166" s="3" t="s">
        <v>90</v>
      </c>
      <c r="C166" s="6">
        <v>46138.583333333343</v>
      </c>
      <c r="D166" s="3" t="s">
        <v>12</v>
      </c>
      <c r="E166" s="3" t="s">
        <v>47</v>
      </c>
      <c r="F166" s="3" t="s">
        <v>25</v>
      </c>
      <c r="G166" s="3" t="s">
        <v>15</v>
      </c>
      <c r="H166" s="3">
        <v>34</v>
      </c>
      <c r="I166" s="3">
        <v>1000</v>
      </c>
      <c r="J166" s="3" t="s">
        <v>26</v>
      </c>
      <c r="K166" s="3" t="str">
        <f t="shared" si="4"/>
        <v>Sunday</v>
      </c>
      <c r="L166" s="3" t="str">
        <f t="shared" si="5"/>
        <v>Evening</v>
      </c>
    </row>
    <row r="167" spans="1:12" x14ac:dyDescent="0.35">
      <c r="A167" s="3" t="s">
        <v>323</v>
      </c>
      <c r="B167" s="3" t="s">
        <v>324</v>
      </c>
      <c r="C167" s="6">
        <v>46118.458333333343</v>
      </c>
      <c r="D167" s="3" t="s">
        <v>79</v>
      </c>
      <c r="E167" s="3" t="s">
        <v>24</v>
      </c>
      <c r="F167" s="3" t="s">
        <v>25</v>
      </c>
      <c r="G167" s="3" t="s">
        <v>15</v>
      </c>
      <c r="H167" s="3">
        <v>25</v>
      </c>
      <c r="I167" s="3">
        <v>700</v>
      </c>
      <c r="J167" s="3" t="s">
        <v>26</v>
      </c>
      <c r="K167" s="3" t="str">
        <f t="shared" si="4"/>
        <v>Monday</v>
      </c>
      <c r="L167" s="3" t="str">
        <f t="shared" si="5"/>
        <v>Afternoon</v>
      </c>
    </row>
    <row r="168" spans="1:12" x14ac:dyDescent="0.35">
      <c r="A168" s="3" t="s">
        <v>325</v>
      </c>
      <c r="B168" s="3" t="s">
        <v>326</v>
      </c>
      <c r="C168" s="6">
        <v>46096.677083333343</v>
      </c>
      <c r="D168" s="3" t="s">
        <v>53</v>
      </c>
      <c r="E168" s="3" t="s">
        <v>13</v>
      </c>
      <c r="F168" s="3" t="s">
        <v>14</v>
      </c>
      <c r="G168" s="3" t="s">
        <v>57</v>
      </c>
      <c r="H168" s="3">
        <v>0</v>
      </c>
      <c r="I168" s="3">
        <v>900</v>
      </c>
      <c r="J168" s="3" t="s">
        <v>26</v>
      </c>
      <c r="K168" s="3" t="str">
        <f t="shared" si="4"/>
        <v>Sunday</v>
      </c>
      <c r="L168" s="3" t="str">
        <f t="shared" si="5"/>
        <v>Evening</v>
      </c>
    </row>
    <row r="169" spans="1:12" x14ac:dyDescent="0.35">
      <c r="A169" s="3" t="s">
        <v>327</v>
      </c>
      <c r="B169" s="3" t="s">
        <v>245</v>
      </c>
      <c r="C169" s="6">
        <v>46078.447916666657</v>
      </c>
      <c r="D169" s="3" t="s">
        <v>31</v>
      </c>
      <c r="E169" s="3" t="s">
        <v>13</v>
      </c>
      <c r="F169" s="3" t="s">
        <v>25</v>
      </c>
      <c r="G169" s="3" t="s">
        <v>15</v>
      </c>
      <c r="H169" s="3">
        <v>64</v>
      </c>
      <c r="I169" s="3">
        <v>1000</v>
      </c>
      <c r="J169" s="3" t="s">
        <v>26</v>
      </c>
      <c r="K169" s="3" t="str">
        <f t="shared" si="4"/>
        <v>Wednesday</v>
      </c>
      <c r="L169" s="3" t="str">
        <f t="shared" si="5"/>
        <v>Morning</v>
      </c>
    </row>
    <row r="170" spans="1:12" x14ac:dyDescent="0.35">
      <c r="A170" s="3" t="s">
        <v>328</v>
      </c>
      <c r="B170" s="3" t="s">
        <v>324</v>
      </c>
      <c r="C170" s="6">
        <v>46130.78125</v>
      </c>
      <c r="D170" s="3" t="s">
        <v>12</v>
      </c>
      <c r="E170" s="3" t="s">
        <v>41</v>
      </c>
      <c r="F170" s="3" t="s">
        <v>54</v>
      </c>
      <c r="G170" s="3" t="s">
        <v>15</v>
      </c>
      <c r="H170" s="3">
        <v>32</v>
      </c>
      <c r="I170" s="3">
        <v>1000</v>
      </c>
      <c r="J170" s="3" t="s">
        <v>26</v>
      </c>
      <c r="K170" s="3" t="str">
        <f t="shared" si="4"/>
        <v>Saturday</v>
      </c>
      <c r="L170" s="3" t="str">
        <f t="shared" si="5"/>
        <v>Late Evening</v>
      </c>
    </row>
    <row r="171" spans="1:12" x14ac:dyDescent="0.35">
      <c r="A171" s="3" t="s">
        <v>329</v>
      </c>
      <c r="B171" s="3" t="s">
        <v>330</v>
      </c>
      <c r="C171" s="6">
        <v>46059.53125</v>
      </c>
      <c r="D171" s="3" t="s">
        <v>40</v>
      </c>
      <c r="E171" s="3" t="s">
        <v>24</v>
      </c>
      <c r="F171" s="3" t="s">
        <v>19</v>
      </c>
      <c r="G171" s="3" t="s">
        <v>15</v>
      </c>
      <c r="H171" s="3">
        <v>31</v>
      </c>
      <c r="I171" s="3">
        <v>400</v>
      </c>
      <c r="J171" s="3" t="s">
        <v>16</v>
      </c>
      <c r="K171" s="3" t="str">
        <f t="shared" si="4"/>
        <v>Friday</v>
      </c>
      <c r="L171" s="3" t="str">
        <f t="shared" si="5"/>
        <v>Afternoon</v>
      </c>
    </row>
    <row r="172" spans="1:12" x14ac:dyDescent="0.35">
      <c r="A172" s="3" t="s">
        <v>331</v>
      </c>
      <c r="B172" s="3" t="s">
        <v>332</v>
      </c>
      <c r="C172" s="6">
        <v>46157.583333333343</v>
      </c>
      <c r="D172" s="3" t="s">
        <v>53</v>
      </c>
      <c r="E172" s="3" t="s">
        <v>47</v>
      </c>
      <c r="F172" s="3" t="s">
        <v>14</v>
      </c>
      <c r="G172" s="3" t="s">
        <v>20</v>
      </c>
      <c r="H172" s="3">
        <v>0</v>
      </c>
      <c r="I172" s="3">
        <v>700</v>
      </c>
      <c r="J172" s="3" t="s">
        <v>16</v>
      </c>
      <c r="K172" s="3" t="str">
        <f t="shared" si="4"/>
        <v>Friday</v>
      </c>
      <c r="L172" s="3" t="str">
        <f t="shared" si="5"/>
        <v>Evening</v>
      </c>
    </row>
    <row r="173" spans="1:12" x14ac:dyDescent="0.35">
      <c r="A173" s="3" t="s">
        <v>333</v>
      </c>
      <c r="B173" s="3" t="s">
        <v>334</v>
      </c>
      <c r="C173" s="6">
        <v>46185.645833333343</v>
      </c>
      <c r="D173" s="3" t="s">
        <v>79</v>
      </c>
      <c r="E173" s="3" t="s">
        <v>24</v>
      </c>
      <c r="F173" s="3" t="s">
        <v>14</v>
      </c>
      <c r="G173" s="3" t="s">
        <v>15</v>
      </c>
      <c r="H173" s="3">
        <v>24</v>
      </c>
      <c r="I173" s="3">
        <v>700</v>
      </c>
      <c r="J173" s="3" t="s">
        <v>16</v>
      </c>
      <c r="K173" s="3" t="str">
        <f t="shared" si="4"/>
        <v>Friday</v>
      </c>
      <c r="L173" s="3" t="str">
        <f t="shared" si="5"/>
        <v>Evening</v>
      </c>
    </row>
    <row r="174" spans="1:12" x14ac:dyDescent="0.35">
      <c r="A174" s="3" t="s">
        <v>335</v>
      </c>
      <c r="B174" s="3" t="s">
        <v>336</v>
      </c>
      <c r="C174" s="6">
        <v>46171.59375</v>
      </c>
      <c r="D174" s="3" t="s">
        <v>53</v>
      </c>
      <c r="E174" s="3" t="s">
        <v>47</v>
      </c>
      <c r="F174" s="3" t="s">
        <v>25</v>
      </c>
      <c r="G174" s="3" t="s">
        <v>15</v>
      </c>
      <c r="H174" s="3">
        <v>15</v>
      </c>
      <c r="I174" s="3">
        <v>800</v>
      </c>
      <c r="J174" s="3" t="s">
        <v>26</v>
      </c>
      <c r="K174" s="3" t="str">
        <f t="shared" si="4"/>
        <v>Friday</v>
      </c>
      <c r="L174" s="3" t="str">
        <f t="shared" si="5"/>
        <v>Evening</v>
      </c>
    </row>
    <row r="175" spans="1:12" x14ac:dyDescent="0.35">
      <c r="A175" s="3" t="s">
        <v>337</v>
      </c>
      <c r="B175" s="3" t="s">
        <v>338</v>
      </c>
      <c r="C175" s="6">
        <v>46184.427083333343</v>
      </c>
      <c r="D175" s="3" t="s">
        <v>46</v>
      </c>
      <c r="E175" s="3" t="s">
        <v>13</v>
      </c>
      <c r="F175" s="3" t="s">
        <v>25</v>
      </c>
      <c r="G175" s="3" t="s">
        <v>15</v>
      </c>
      <c r="H175" s="3">
        <v>38</v>
      </c>
      <c r="I175" s="3">
        <v>800</v>
      </c>
      <c r="J175" s="3" t="s">
        <v>26</v>
      </c>
      <c r="K175" s="3" t="str">
        <f t="shared" si="4"/>
        <v>Thursday</v>
      </c>
      <c r="L175" s="3" t="str">
        <f t="shared" si="5"/>
        <v>Morning</v>
      </c>
    </row>
    <row r="176" spans="1:12" x14ac:dyDescent="0.35">
      <c r="A176" s="3" t="s">
        <v>339</v>
      </c>
      <c r="B176" s="3" t="s">
        <v>132</v>
      </c>
      <c r="C176" s="6">
        <v>46033.604166666657</v>
      </c>
      <c r="D176" s="3" t="s">
        <v>12</v>
      </c>
      <c r="E176" s="3" t="s">
        <v>13</v>
      </c>
      <c r="F176" s="3" t="s">
        <v>54</v>
      </c>
      <c r="G176" s="3" t="s">
        <v>20</v>
      </c>
      <c r="H176" s="3">
        <v>0</v>
      </c>
      <c r="I176" s="3">
        <v>1100</v>
      </c>
      <c r="J176" s="3" t="s">
        <v>16</v>
      </c>
      <c r="K176" s="3" t="str">
        <f t="shared" si="4"/>
        <v>Sunday</v>
      </c>
      <c r="L176" s="3" t="str">
        <f t="shared" si="5"/>
        <v>Evening</v>
      </c>
    </row>
    <row r="177" spans="1:12" x14ac:dyDescent="0.35">
      <c r="A177" s="3" t="s">
        <v>340</v>
      </c>
      <c r="B177" s="3" t="s">
        <v>39</v>
      </c>
      <c r="C177" s="6">
        <v>46096.583333333343</v>
      </c>
      <c r="D177" s="3" t="s">
        <v>12</v>
      </c>
      <c r="E177" s="3" t="s">
        <v>47</v>
      </c>
      <c r="F177" s="3" t="s">
        <v>14</v>
      </c>
      <c r="G177" s="3" t="s">
        <v>57</v>
      </c>
      <c r="H177" s="3">
        <v>0</v>
      </c>
      <c r="I177" s="3">
        <v>1000</v>
      </c>
      <c r="J177" s="3" t="s">
        <v>16</v>
      </c>
      <c r="K177" s="3" t="str">
        <f t="shared" si="4"/>
        <v>Sunday</v>
      </c>
      <c r="L177" s="3" t="str">
        <f t="shared" si="5"/>
        <v>Evening</v>
      </c>
    </row>
    <row r="178" spans="1:12" x14ac:dyDescent="0.35">
      <c r="A178" s="3" t="s">
        <v>341</v>
      </c>
      <c r="B178" s="3" t="s">
        <v>342</v>
      </c>
      <c r="C178" s="6">
        <v>46135.645833333343</v>
      </c>
      <c r="D178" s="3" t="s">
        <v>46</v>
      </c>
      <c r="E178" s="3" t="s">
        <v>41</v>
      </c>
      <c r="F178" s="3" t="s">
        <v>54</v>
      </c>
      <c r="G178" s="3" t="s">
        <v>15</v>
      </c>
      <c r="H178" s="3">
        <v>34</v>
      </c>
      <c r="I178" s="3">
        <v>800</v>
      </c>
      <c r="J178" s="3" t="s">
        <v>16</v>
      </c>
      <c r="K178" s="3" t="str">
        <f t="shared" si="4"/>
        <v>Thursday</v>
      </c>
      <c r="L178" s="3" t="str">
        <f t="shared" si="5"/>
        <v>Evening</v>
      </c>
    </row>
    <row r="179" spans="1:12" x14ac:dyDescent="0.35">
      <c r="A179" s="3" t="s">
        <v>343</v>
      </c>
      <c r="B179" s="3" t="s">
        <v>344</v>
      </c>
      <c r="C179" s="6">
        <v>46044.625</v>
      </c>
      <c r="D179" s="3" t="s">
        <v>50</v>
      </c>
      <c r="E179" s="3" t="s">
        <v>37</v>
      </c>
      <c r="F179" s="3" t="s">
        <v>19</v>
      </c>
      <c r="G179" s="3" t="s">
        <v>15</v>
      </c>
      <c r="H179" s="3">
        <v>37</v>
      </c>
      <c r="I179" s="3">
        <v>400</v>
      </c>
      <c r="J179" s="3" t="s">
        <v>16</v>
      </c>
      <c r="K179" s="3" t="str">
        <f t="shared" si="4"/>
        <v>Thursday</v>
      </c>
      <c r="L179" s="3" t="str">
        <f t="shared" si="5"/>
        <v>Evening</v>
      </c>
    </row>
    <row r="180" spans="1:12" x14ac:dyDescent="0.35">
      <c r="A180" s="3" t="s">
        <v>345</v>
      </c>
      <c r="B180" s="3" t="s">
        <v>98</v>
      </c>
      <c r="C180" s="6">
        <v>46043.604166666657</v>
      </c>
      <c r="D180" s="3" t="s">
        <v>99</v>
      </c>
      <c r="E180" s="3" t="s">
        <v>47</v>
      </c>
      <c r="F180" s="3" t="s">
        <v>54</v>
      </c>
      <c r="G180" s="3" t="s">
        <v>15</v>
      </c>
      <c r="H180" s="3">
        <v>11</v>
      </c>
      <c r="I180" s="3">
        <v>700</v>
      </c>
      <c r="J180" s="3" t="s">
        <v>26</v>
      </c>
      <c r="K180" s="3" t="str">
        <f t="shared" si="4"/>
        <v>Wednesday</v>
      </c>
      <c r="L180" s="3" t="str">
        <f t="shared" si="5"/>
        <v>Evening</v>
      </c>
    </row>
    <row r="181" spans="1:12" x14ac:dyDescent="0.35">
      <c r="A181" s="3" t="s">
        <v>346</v>
      </c>
      <c r="B181" s="3" t="s">
        <v>347</v>
      </c>
      <c r="C181" s="6">
        <v>46137.354166666657</v>
      </c>
      <c r="D181" s="3" t="s">
        <v>46</v>
      </c>
      <c r="E181" s="3" t="s">
        <v>47</v>
      </c>
      <c r="F181" s="3" t="s">
        <v>14</v>
      </c>
      <c r="G181" s="3" t="s">
        <v>20</v>
      </c>
      <c r="H181" s="3">
        <v>0</v>
      </c>
      <c r="I181" s="3">
        <v>800</v>
      </c>
      <c r="J181" s="3" t="s">
        <v>26</v>
      </c>
      <c r="K181" s="3" t="str">
        <f t="shared" si="4"/>
        <v>Saturday</v>
      </c>
      <c r="L181" s="3" t="str">
        <f t="shared" si="5"/>
        <v>Morning</v>
      </c>
    </row>
    <row r="182" spans="1:12" x14ac:dyDescent="0.35">
      <c r="A182" s="3" t="s">
        <v>348</v>
      </c>
      <c r="B182" s="3" t="s">
        <v>11</v>
      </c>
      <c r="C182" s="6">
        <v>46154.416666666657</v>
      </c>
      <c r="D182" s="3" t="s">
        <v>46</v>
      </c>
      <c r="E182" s="3" t="s">
        <v>24</v>
      </c>
      <c r="F182" s="3" t="s">
        <v>54</v>
      </c>
      <c r="G182" s="3" t="s">
        <v>15</v>
      </c>
      <c r="H182" s="3">
        <v>41</v>
      </c>
      <c r="I182" s="3">
        <v>600</v>
      </c>
      <c r="J182" s="3" t="s">
        <v>26</v>
      </c>
      <c r="K182" s="3" t="str">
        <f t="shared" si="4"/>
        <v>Tuesday</v>
      </c>
      <c r="L182" s="3" t="str">
        <f t="shared" si="5"/>
        <v>Morning</v>
      </c>
    </row>
    <row r="183" spans="1:12" x14ac:dyDescent="0.35">
      <c r="A183" s="3" t="s">
        <v>349</v>
      </c>
      <c r="B183" s="3" t="s">
        <v>350</v>
      </c>
      <c r="C183" s="6">
        <v>46083.604166666657</v>
      </c>
      <c r="D183" s="3" t="s">
        <v>53</v>
      </c>
      <c r="E183" s="3" t="s">
        <v>37</v>
      </c>
      <c r="F183" s="3" t="s">
        <v>19</v>
      </c>
      <c r="G183" s="3" t="s">
        <v>15</v>
      </c>
      <c r="H183" s="3">
        <v>13</v>
      </c>
      <c r="I183" s="3">
        <v>700</v>
      </c>
      <c r="J183" s="3" t="s">
        <v>16</v>
      </c>
      <c r="K183" s="3" t="str">
        <f t="shared" si="4"/>
        <v>Monday</v>
      </c>
      <c r="L183" s="3" t="str">
        <f t="shared" si="5"/>
        <v>Evening</v>
      </c>
    </row>
    <row r="184" spans="1:12" x14ac:dyDescent="0.35">
      <c r="A184" s="3" t="s">
        <v>351</v>
      </c>
      <c r="B184" s="3" t="s">
        <v>90</v>
      </c>
      <c r="C184" s="6">
        <v>46136.385416666657</v>
      </c>
      <c r="D184" s="3" t="s">
        <v>36</v>
      </c>
      <c r="E184" s="3" t="s">
        <v>24</v>
      </c>
      <c r="F184" s="3" t="s">
        <v>25</v>
      </c>
      <c r="G184" s="3" t="s">
        <v>20</v>
      </c>
      <c r="H184" s="3">
        <v>0</v>
      </c>
      <c r="I184" s="3">
        <v>600</v>
      </c>
      <c r="J184" s="3" t="s">
        <v>16</v>
      </c>
      <c r="K184" s="3" t="str">
        <f t="shared" si="4"/>
        <v>Friday</v>
      </c>
      <c r="L184" s="3" t="str">
        <f t="shared" si="5"/>
        <v>Morning</v>
      </c>
    </row>
    <row r="185" spans="1:12" x14ac:dyDescent="0.35">
      <c r="A185" s="3" t="s">
        <v>352</v>
      </c>
      <c r="B185" s="3" t="s">
        <v>237</v>
      </c>
      <c r="C185" s="6">
        <v>46029.447916666657</v>
      </c>
      <c r="D185" s="3" t="s">
        <v>53</v>
      </c>
      <c r="E185" s="3" t="s">
        <v>37</v>
      </c>
      <c r="F185" s="3" t="s">
        <v>14</v>
      </c>
      <c r="G185" s="3" t="s">
        <v>20</v>
      </c>
      <c r="H185" s="3">
        <v>0</v>
      </c>
      <c r="I185" s="3">
        <v>900</v>
      </c>
      <c r="J185" s="3" t="s">
        <v>16</v>
      </c>
      <c r="K185" s="3" t="str">
        <f t="shared" si="4"/>
        <v>Wednesday</v>
      </c>
      <c r="L185" s="3" t="str">
        <f t="shared" si="5"/>
        <v>Morning</v>
      </c>
    </row>
    <row r="186" spans="1:12" x14ac:dyDescent="0.35">
      <c r="A186" s="3" t="s">
        <v>353</v>
      </c>
      <c r="B186" s="3" t="s">
        <v>152</v>
      </c>
      <c r="C186" s="6">
        <v>46077.770833333343</v>
      </c>
      <c r="D186" s="3" t="s">
        <v>36</v>
      </c>
      <c r="E186" s="3" t="s">
        <v>13</v>
      </c>
      <c r="F186" s="3" t="s">
        <v>14</v>
      </c>
      <c r="G186" s="3" t="s">
        <v>57</v>
      </c>
      <c r="H186" s="3">
        <v>0</v>
      </c>
      <c r="I186" s="3">
        <v>700</v>
      </c>
      <c r="J186" s="3" t="s">
        <v>26</v>
      </c>
      <c r="K186" s="3" t="str">
        <f t="shared" si="4"/>
        <v>Tuesday</v>
      </c>
      <c r="L186" s="3" t="str">
        <f t="shared" si="5"/>
        <v>Late Evening</v>
      </c>
    </row>
    <row r="187" spans="1:12" x14ac:dyDescent="0.35">
      <c r="A187" s="3" t="s">
        <v>354</v>
      </c>
      <c r="B187" s="3" t="s">
        <v>355</v>
      </c>
      <c r="C187" s="6">
        <v>46067.666666666657</v>
      </c>
      <c r="D187" s="3" t="s">
        <v>31</v>
      </c>
      <c r="E187" s="3" t="s">
        <v>41</v>
      </c>
      <c r="F187" s="3" t="s">
        <v>25</v>
      </c>
      <c r="G187" s="3" t="s">
        <v>57</v>
      </c>
      <c r="H187" s="3">
        <v>0</v>
      </c>
      <c r="I187" s="3">
        <v>1000</v>
      </c>
      <c r="J187" s="3" t="s">
        <v>26</v>
      </c>
      <c r="K187" s="3" t="str">
        <f t="shared" si="4"/>
        <v>Saturday</v>
      </c>
      <c r="L187" s="3" t="str">
        <f t="shared" si="5"/>
        <v>Evening</v>
      </c>
    </row>
    <row r="188" spans="1:12" x14ac:dyDescent="0.35">
      <c r="A188" s="3" t="s">
        <v>356</v>
      </c>
      <c r="B188" s="3" t="s">
        <v>357</v>
      </c>
      <c r="C188" s="6">
        <v>46099.427083333343</v>
      </c>
      <c r="D188" s="3" t="s">
        <v>50</v>
      </c>
      <c r="E188" s="3" t="s">
        <v>41</v>
      </c>
      <c r="F188" s="3" t="s">
        <v>14</v>
      </c>
      <c r="G188" s="3" t="s">
        <v>15</v>
      </c>
      <c r="H188" s="3">
        <v>35</v>
      </c>
      <c r="I188" s="3">
        <v>400</v>
      </c>
      <c r="J188" s="3" t="s">
        <v>26</v>
      </c>
      <c r="K188" s="3" t="str">
        <f t="shared" si="4"/>
        <v>Wednesday</v>
      </c>
      <c r="L188" s="3" t="str">
        <f t="shared" si="5"/>
        <v>Morning</v>
      </c>
    </row>
    <row r="189" spans="1:12" x14ac:dyDescent="0.35">
      <c r="A189" s="3" t="s">
        <v>358</v>
      </c>
      <c r="B189" s="3" t="s">
        <v>359</v>
      </c>
      <c r="C189" s="6">
        <v>46039.53125</v>
      </c>
      <c r="D189" s="3" t="s">
        <v>40</v>
      </c>
      <c r="E189" s="3" t="s">
        <v>41</v>
      </c>
      <c r="F189" s="3" t="s">
        <v>54</v>
      </c>
      <c r="G189" s="3" t="s">
        <v>57</v>
      </c>
      <c r="H189" s="3">
        <v>0</v>
      </c>
      <c r="I189" s="3">
        <v>600</v>
      </c>
      <c r="J189" s="3" t="s">
        <v>16</v>
      </c>
      <c r="K189" s="3" t="str">
        <f t="shared" si="4"/>
        <v>Saturday</v>
      </c>
      <c r="L189" s="3" t="str">
        <f t="shared" si="5"/>
        <v>Afternoon</v>
      </c>
    </row>
    <row r="190" spans="1:12" x14ac:dyDescent="0.35">
      <c r="A190" s="3" t="s">
        <v>360</v>
      </c>
      <c r="B190" s="3" t="s">
        <v>105</v>
      </c>
      <c r="C190" s="6">
        <v>46055.583333333343</v>
      </c>
      <c r="D190" s="3" t="s">
        <v>40</v>
      </c>
      <c r="E190" s="3" t="s">
        <v>41</v>
      </c>
      <c r="F190" s="3" t="s">
        <v>25</v>
      </c>
      <c r="G190" s="3" t="s">
        <v>15</v>
      </c>
      <c r="H190" s="3">
        <v>54</v>
      </c>
      <c r="I190" s="3">
        <v>600</v>
      </c>
      <c r="J190" s="3" t="s">
        <v>26</v>
      </c>
      <c r="K190" s="3" t="str">
        <f t="shared" si="4"/>
        <v>Monday</v>
      </c>
      <c r="L190" s="3" t="str">
        <f t="shared" si="5"/>
        <v>Evening</v>
      </c>
    </row>
    <row r="191" spans="1:12" x14ac:dyDescent="0.35">
      <c r="A191" s="3" t="s">
        <v>361</v>
      </c>
      <c r="B191" s="3" t="s">
        <v>362</v>
      </c>
      <c r="C191" s="6">
        <v>46056.625</v>
      </c>
      <c r="D191" s="3" t="s">
        <v>40</v>
      </c>
      <c r="E191" s="3" t="s">
        <v>24</v>
      </c>
      <c r="F191" s="3" t="s">
        <v>25</v>
      </c>
      <c r="G191" s="3" t="s">
        <v>15</v>
      </c>
      <c r="H191" s="3">
        <v>16</v>
      </c>
      <c r="I191" s="3">
        <v>400</v>
      </c>
      <c r="J191" s="3" t="s">
        <v>26</v>
      </c>
      <c r="K191" s="3" t="str">
        <f t="shared" si="4"/>
        <v>Tuesday</v>
      </c>
      <c r="L191" s="3" t="str">
        <f t="shared" si="5"/>
        <v>Evening</v>
      </c>
    </row>
    <row r="192" spans="1:12" x14ac:dyDescent="0.35">
      <c r="A192" s="3" t="s">
        <v>363</v>
      </c>
      <c r="B192" s="3" t="s">
        <v>229</v>
      </c>
      <c r="C192" s="6">
        <v>46080.604166666657</v>
      </c>
      <c r="D192" s="3" t="s">
        <v>23</v>
      </c>
      <c r="E192" s="3" t="s">
        <v>37</v>
      </c>
      <c r="F192" s="3" t="s">
        <v>25</v>
      </c>
      <c r="G192" s="3" t="s">
        <v>15</v>
      </c>
      <c r="H192" s="3">
        <v>23</v>
      </c>
      <c r="I192" s="3">
        <v>800</v>
      </c>
      <c r="J192" s="3" t="s">
        <v>26</v>
      </c>
      <c r="K192" s="3" t="str">
        <f t="shared" si="4"/>
        <v>Friday</v>
      </c>
      <c r="L192" s="3" t="str">
        <f t="shared" si="5"/>
        <v>Evening</v>
      </c>
    </row>
    <row r="193" spans="1:12" x14ac:dyDescent="0.35">
      <c r="A193" s="3" t="s">
        <v>364</v>
      </c>
      <c r="B193" s="3" t="s">
        <v>365</v>
      </c>
      <c r="C193" s="6">
        <v>46151.427083333343</v>
      </c>
      <c r="D193" s="3" t="s">
        <v>99</v>
      </c>
      <c r="E193" s="3" t="s">
        <v>13</v>
      </c>
      <c r="F193" s="3" t="s">
        <v>25</v>
      </c>
      <c r="G193" s="3" t="s">
        <v>15</v>
      </c>
      <c r="H193" s="3">
        <v>23</v>
      </c>
      <c r="I193" s="3">
        <v>500</v>
      </c>
      <c r="J193" s="3" t="s">
        <v>26</v>
      </c>
      <c r="K193" s="3" t="str">
        <f t="shared" si="4"/>
        <v>Saturday</v>
      </c>
      <c r="L193" s="3" t="str">
        <f t="shared" si="5"/>
        <v>Morning</v>
      </c>
    </row>
    <row r="194" spans="1:12" x14ac:dyDescent="0.35">
      <c r="A194" s="3" t="s">
        <v>366</v>
      </c>
      <c r="B194" s="3" t="s">
        <v>134</v>
      </c>
      <c r="C194" s="6">
        <v>46034.770833333343</v>
      </c>
      <c r="D194" s="3" t="s">
        <v>12</v>
      </c>
      <c r="E194" s="3" t="s">
        <v>47</v>
      </c>
      <c r="F194" s="3" t="s">
        <v>54</v>
      </c>
      <c r="G194" s="3" t="s">
        <v>57</v>
      </c>
      <c r="H194" s="3">
        <v>0</v>
      </c>
      <c r="I194" s="3">
        <v>1000</v>
      </c>
      <c r="J194" s="3" t="s">
        <v>26</v>
      </c>
      <c r="K194" s="3" t="str">
        <f t="shared" si="4"/>
        <v>Monday</v>
      </c>
      <c r="L194" s="3" t="str">
        <f t="shared" si="5"/>
        <v>Late Evening</v>
      </c>
    </row>
    <row r="195" spans="1:12" x14ac:dyDescent="0.35">
      <c r="A195" s="3" t="s">
        <v>367</v>
      </c>
      <c r="B195" s="3" t="s">
        <v>96</v>
      </c>
      <c r="C195" s="6">
        <v>46187.53125</v>
      </c>
      <c r="D195" s="3" t="s">
        <v>46</v>
      </c>
      <c r="E195" s="3" t="s">
        <v>13</v>
      </c>
      <c r="F195" s="3" t="s">
        <v>54</v>
      </c>
      <c r="G195" s="3" t="s">
        <v>15</v>
      </c>
      <c r="H195" s="3">
        <v>18</v>
      </c>
      <c r="I195" s="3">
        <v>800</v>
      </c>
      <c r="J195" s="3" t="s">
        <v>26</v>
      </c>
      <c r="K195" s="3" t="str">
        <f t="shared" ref="K195:K258" si="6">TEXT(C195,"dddd")</f>
        <v>Sunday</v>
      </c>
      <c r="L195" s="3" t="str">
        <f t="shared" ref="L195:L258" si="7">IF(HOUR(C195)&lt;11,"Morning",IF(HOUR(C195)&lt;14,"Afternoon",IF(HOUR(C195)&lt;17,"Evening","Late Evening")))</f>
        <v>Afternoon</v>
      </c>
    </row>
    <row r="196" spans="1:12" x14ac:dyDescent="0.35">
      <c r="A196" s="3" t="s">
        <v>368</v>
      </c>
      <c r="B196" s="3" t="s">
        <v>22</v>
      </c>
      <c r="C196" s="6">
        <v>46135.65625</v>
      </c>
      <c r="D196" s="3" t="s">
        <v>12</v>
      </c>
      <c r="E196" s="3" t="s">
        <v>37</v>
      </c>
      <c r="F196" s="3" t="s">
        <v>19</v>
      </c>
      <c r="G196" s="3" t="s">
        <v>15</v>
      </c>
      <c r="H196" s="3">
        <v>16</v>
      </c>
      <c r="I196" s="3">
        <v>1000</v>
      </c>
      <c r="J196" s="3" t="s">
        <v>16</v>
      </c>
      <c r="K196" s="3" t="str">
        <f t="shared" si="6"/>
        <v>Thursday</v>
      </c>
      <c r="L196" s="3" t="str">
        <f t="shared" si="7"/>
        <v>Evening</v>
      </c>
    </row>
    <row r="197" spans="1:12" x14ac:dyDescent="0.35">
      <c r="A197" s="3" t="s">
        <v>369</v>
      </c>
      <c r="B197" s="3" t="s">
        <v>370</v>
      </c>
      <c r="C197" s="6">
        <v>46125.4375</v>
      </c>
      <c r="D197" s="3" t="s">
        <v>36</v>
      </c>
      <c r="E197" s="3" t="s">
        <v>47</v>
      </c>
      <c r="F197" s="3" t="s">
        <v>25</v>
      </c>
      <c r="G197" s="3" t="s">
        <v>20</v>
      </c>
      <c r="H197" s="3">
        <v>0</v>
      </c>
      <c r="I197" s="3">
        <v>500</v>
      </c>
      <c r="J197" s="3" t="s">
        <v>26</v>
      </c>
      <c r="K197" s="3" t="str">
        <f t="shared" si="6"/>
        <v>Monday</v>
      </c>
      <c r="L197" s="3" t="str">
        <f t="shared" si="7"/>
        <v>Morning</v>
      </c>
    </row>
    <row r="198" spans="1:12" x14ac:dyDescent="0.35">
      <c r="A198" s="3" t="s">
        <v>371</v>
      </c>
      <c r="B198" s="3" t="s">
        <v>372</v>
      </c>
      <c r="C198" s="6">
        <v>46091.677083333343</v>
      </c>
      <c r="D198" s="3" t="s">
        <v>79</v>
      </c>
      <c r="E198" s="3" t="s">
        <v>41</v>
      </c>
      <c r="F198" s="3" t="s">
        <v>25</v>
      </c>
      <c r="G198" s="3" t="s">
        <v>15</v>
      </c>
      <c r="H198" s="3">
        <v>25</v>
      </c>
      <c r="I198" s="3">
        <v>700</v>
      </c>
      <c r="J198" s="3" t="s">
        <v>16</v>
      </c>
      <c r="K198" s="3" t="str">
        <f t="shared" si="6"/>
        <v>Tuesday</v>
      </c>
      <c r="L198" s="3" t="str">
        <f t="shared" si="7"/>
        <v>Evening</v>
      </c>
    </row>
    <row r="199" spans="1:12" x14ac:dyDescent="0.35">
      <c r="A199" s="3" t="s">
        <v>373</v>
      </c>
      <c r="B199" s="3" t="s">
        <v>115</v>
      </c>
      <c r="C199" s="6">
        <v>46086.4375</v>
      </c>
      <c r="D199" s="3" t="s">
        <v>50</v>
      </c>
      <c r="E199" s="3" t="s">
        <v>41</v>
      </c>
      <c r="F199" s="3" t="s">
        <v>19</v>
      </c>
      <c r="G199" s="3" t="s">
        <v>20</v>
      </c>
      <c r="H199" s="3">
        <v>0</v>
      </c>
      <c r="I199" s="3">
        <v>500</v>
      </c>
      <c r="J199" s="3" t="s">
        <v>16</v>
      </c>
      <c r="K199" s="3" t="str">
        <f t="shared" si="6"/>
        <v>Thursday</v>
      </c>
      <c r="L199" s="3" t="str">
        <f t="shared" si="7"/>
        <v>Morning</v>
      </c>
    </row>
    <row r="200" spans="1:12" x14ac:dyDescent="0.35">
      <c r="A200" s="3" t="s">
        <v>374</v>
      </c>
      <c r="B200" s="3" t="s">
        <v>375</v>
      </c>
      <c r="C200" s="6">
        <v>46150.53125</v>
      </c>
      <c r="D200" s="3" t="s">
        <v>50</v>
      </c>
      <c r="E200" s="3" t="s">
        <v>24</v>
      </c>
      <c r="F200" s="3" t="s">
        <v>54</v>
      </c>
      <c r="G200" s="3" t="s">
        <v>15</v>
      </c>
      <c r="H200" s="3">
        <v>15</v>
      </c>
      <c r="I200" s="3">
        <v>500</v>
      </c>
      <c r="J200" s="3" t="s">
        <v>16</v>
      </c>
      <c r="K200" s="3" t="str">
        <f t="shared" si="6"/>
        <v>Friday</v>
      </c>
      <c r="L200" s="3" t="str">
        <f t="shared" si="7"/>
        <v>Afternoon</v>
      </c>
    </row>
    <row r="201" spans="1:12" x14ac:dyDescent="0.35">
      <c r="A201" s="3" t="s">
        <v>376</v>
      </c>
      <c r="B201" s="3" t="s">
        <v>377</v>
      </c>
      <c r="C201" s="6">
        <v>46172.583333333343</v>
      </c>
      <c r="D201" s="3" t="s">
        <v>53</v>
      </c>
      <c r="E201" s="3" t="s">
        <v>41</v>
      </c>
      <c r="F201" s="3" t="s">
        <v>54</v>
      </c>
      <c r="G201" s="3" t="s">
        <v>15</v>
      </c>
      <c r="H201" s="3">
        <v>35</v>
      </c>
      <c r="I201" s="3">
        <v>800</v>
      </c>
      <c r="J201" s="3" t="s">
        <v>16</v>
      </c>
      <c r="K201" s="3" t="str">
        <f t="shared" si="6"/>
        <v>Saturday</v>
      </c>
      <c r="L201" s="3" t="str">
        <f t="shared" si="7"/>
        <v>Evening</v>
      </c>
    </row>
    <row r="202" spans="1:12" x14ac:dyDescent="0.35">
      <c r="A202" s="3" t="s">
        <v>378</v>
      </c>
      <c r="B202" s="3" t="s">
        <v>212</v>
      </c>
      <c r="C202" s="6">
        <v>46050.635416666657</v>
      </c>
      <c r="D202" s="3" t="s">
        <v>40</v>
      </c>
      <c r="E202" s="3" t="s">
        <v>13</v>
      </c>
      <c r="F202" s="3" t="s">
        <v>54</v>
      </c>
      <c r="G202" s="3" t="s">
        <v>15</v>
      </c>
      <c r="H202" s="3">
        <v>16</v>
      </c>
      <c r="I202" s="3">
        <v>500</v>
      </c>
      <c r="J202" s="3" t="s">
        <v>16</v>
      </c>
      <c r="K202" s="3" t="str">
        <f t="shared" si="6"/>
        <v>Wednesday</v>
      </c>
      <c r="L202" s="3" t="str">
        <f t="shared" si="7"/>
        <v>Evening</v>
      </c>
    </row>
    <row r="203" spans="1:12" x14ac:dyDescent="0.35">
      <c r="A203" s="3" t="s">
        <v>379</v>
      </c>
      <c r="B203" s="3" t="s">
        <v>83</v>
      </c>
      <c r="C203" s="6">
        <v>46036.760416666657</v>
      </c>
      <c r="D203" s="3" t="s">
        <v>31</v>
      </c>
      <c r="E203" s="3" t="s">
        <v>41</v>
      </c>
      <c r="F203" s="3" t="s">
        <v>14</v>
      </c>
      <c r="G203" s="3" t="s">
        <v>15</v>
      </c>
      <c r="H203" s="3">
        <v>53</v>
      </c>
      <c r="I203" s="3">
        <v>900</v>
      </c>
      <c r="J203" s="3" t="s">
        <v>16</v>
      </c>
      <c r="K203" s="3" t="str">
        <f t="shared" si="6"/>
        <v>Wednesday</v>
      </c>
      <c r="L203" s="3" t="str">
        <f t="shared" si="7"/>
        <v>Late Evening</v>
      </c>
    </row>
    <row r="204" spans="1:12" x14ac:dyDescent="0.35">
      <c r="A204" s="3" t="s">
        <v>380</v>
      </c>
      <c r="B204" s="3" t="s">
        <v>381</v>
      </c>
      <c r="C204" s="6">
        <v>46163.5</v>
      </c>
      <c r="D204" s="3" t="s">
        <v>50</v>
      </c>
      <c r="E204" s="3" t="s">
        <v>41</v>
      </c>
      <c r="F204" s="3" t="s">
        <v>25</v>
      </c>
      <c r="G204" s="3" t="s">
        <v>15</v>
      </c>
      <c r="H204" s="3">
        <v>18</v>
      </c>
      <c r="I204" s="3">
        <v>500</v>
      </c>
      <c r="J204" s="3" t="s">
        <v>16</v>
      </c>
      <c r="K204" s="3" t="str">
        <f t="shared" si="6"/>
        <v>Thursday</v>
      </c>
      <c r="L204" s="3" t="str">
        <f t="shared" si="7"/>
        <v>Afternoon</v>
      </c>
    </row>
    <row r="205" spans="1:12" x14ac:dyDescent="0.35">
      <c r="A205" s="3" t="s">
        <v>382</v>
      </c>
      <c r="B205" s="3" t="s">
        <v>214</v>
      </c>
      <c r="C205" s="6">
        <v>46059.489583333343</v>
      </c>
      <c r="D205" s="3" t="s">
        <v>50</v>
      </c>
      <c r="E205" s="3" t="s">
        <v>37</v>
      </c>
      <c r="F205" s="3" t="s">
        <v>14</v>
      </c>
      <c r="G205" s="3" t="s">
        <v>20</v>
      </c>
      <c r="H205" s="3">
        <v>0</v>
      </c>
      <c r="I205" s="3">
        <v>500</v>
      </c>
      <c r="J205" s="3" t="s">
        <v>756</v>
      </c>
      <c r="K205" s="3" t="str">
        <f t="shared" si="6"/>
        <v>Friday</v>
      </c>
      <c r="L205" s="3" t="str">
        <f t="shared" si="7"/>
        <v>Afternoon</v>
      </c>
    </row>
    <row r="206" spans="1:12" x14ac:dyDescent="0.35">
      <c r="A206" s="3" t="s">
        <v>383</v>
      </c>
      <c r="B206" s="3" t="s">
        <v>384</v>
      </c>
      <c r="C206" s="6">
        <v>46155.677083333343</v>
      </c>
      <c r="D206" s="3" t="s">
        <v>36</v>
      </c>
      <c r="E206" s="3" t="s">
        <v>24</v>
      </c>
      <c r="F206" s="3" t="s">
        <v>25</v>
      </c>
      <c r="G206" s="3" t="s">
        <v>20</v>
      </c>
      <c r="H206" s="3">
        <v>0</v>
      </c>
      <c r="I206" s="3">
        <v>500</v>
      </c>
      <c r="J206" s="3" t="s">
        <v>16</v>
      </c>
      <c r="K206" s="3" t="str">
        <f t="shared" si="6"/>
        <v>Wednesday</v>
      </c>
      <c r="L206" s="3" t="str">
        <f t="shared" si="7"/>
        <v>Evening</v>
      </c>
    </row>
    <row r="207" spans="1:12" x14ac:dyDescent="0.35">
      <c r="A207" s="3" t="s">
        <v>385</v>
      </c>
      <c r="B207" s="3" t="s">
        <v>386</v>
      </c>
      <c r="C207" s="6">
        <v>46180.520833333343</v>
      </c>
      <c r="D207" s="3" t="s">
        <v>23</v>
      </c>
      <c r="E207" s="3" t="s">
        <v>47</v>
      </c>
      <c r="F207" s="3" t="s">
        <v>54</v>
      </c>
      <c r="G207" s="3" t="s">
        <v>20</v>
      </c>
      <c r="H207" s="3">
        <v>0</v>
      </c>
      <c r="I207" s="3">
        <v>700</v>
      </c>
      <c r="J207" s="3" t="s">
        <v>16</v>
      </c>
      <c r="K207" s="3" t="str">
        <f t="shared" si="6"/>
        <v>Sunday</v>
      </c>
      <c r="L207" s="3" t="str">
        <f t="shared" si="7"/>
        <v>Afternoon</v>
      </c>
    </row>
    <row r="208" spans="1:12" x14ac:dyDescent="0.35">
      <c r="A208" s="3" t="s">
        <v>387</v>
      </c>
      <c r="B208" s="3" t="s">
        <v>169</v>
      </c>
      <c r="C208" s="6">
        <v>46117.583333333343</v>
      </c>
      <c r="D208" s="3" t="s">
        <v>79</v>
      </c>
      <c r="E208" s="3" t="s">
        <v>37</v>
      </c>
      <c r="F208" s="3" t="s">
        <v>14</v>
      </c>
      <c r="G208" s="3" t="s">
        <v>15</v>
      </c>
      <c r="H208" s="3">
        <v>21</v>
      </c>
      <c r="I208" s="3">
        <v>600</v>
      </c>
      <c r="J208" s="3" t="s">
        <v>16</v>
      </c>
      <c r="K208" s="3" t="str">
        <f t="shared" si="6"/>
        <v>Sunday</v>
      </c>
      <c r="L208" s="3" t="str">
        <f t="shared" si="7"/>
        <v>Evening</v>
      </c>
    </row>
    <row r="209" spans="1:12" x14ac:dyDescent="0.35">
      <c r="A209" s="3" t="s">
        <v>388</v>
      </c>
      <c r="B209" s="3" t="s">
        <v>389</v>
      </c>
      <c r="C209" s="6">
        <v>46036.78125</v>
      </c>
      <c r="D209" s="3" t="s">
        <v>99</v>
      </c>
      <c r="E209" s="3" t="s">
        <v>24</v>
      </c>
      <c r="F209" s="3" t="s">
        <v>54</v>
      </c>
      <c r="G209" s="3" t="s">
        <v>15</v>
      </c>
      <c r="H209" s="3">
        <v>31</v>
      </c>
      <c r="I209" s="3">
        <v>500</v>
      </c>
      <c r="J209" s="3" t="s">
        <v>26</v>
      </c>
      <c r="K209" s="3" t="str">
        <f t="shared" si="6"/>
        <v>Wednesday</v>
      </c>
      <c r="L209" s="3" t="str">
        <f t="shared" si="7"/>
        <v>Late Evening</v>
      </c>
    </row>
    <row r="210" spans="1:12" x14ac:dyDescent="0.35">
      <c r="A210" s="3" t="s">
        <v>390</v>
      </c>
      <c r="B210" s="3" t="s">
        <v>391</v>
      </c>
      <c r="C210" s="6">
        <v>46169.385416666657</v>
      </c>
      <c r="D210" s="3" t="s">
        <v>53</v>
      </c>
      <c r="E210" s="3" t="s">
        <v>47</v>
      </c>
      <c r="F210" s="3" t="s">
        <v>54</v>
      </c>
      <c r="G210" s="3" t="s">
        <v>15</v>
      </c>
      <c r="H210" s="3">
        <v>15</v>
      </c>
      <c r="I210" s="3">
        <v>900</v>
      </c>
      <c r="J210" s="3" t="s">
        <v>26</v>
      </c>
      <c r="K210" s="3" t="str">
        <f t="shared" si="6"/>
        <v>Wednesday</v>
      </c>
      <c r="L210" s="3" t="str">
        <f t="shared" si="7"/>
        <v>Morning</v>
      </c>
    </row>
    <row r="211" spans="1:12" x14ac:dyDescent="0.35">
      <c r="A211" s="3" t="s">
        <v>392</v>
      </c>
      <c r="B211" s="3" t="s">
        <v>393</v>
      </c>
      <c r="C211" s="6">
        <v>46128.739583333343</v>
      </c>
      <c r="D211" s="3" t="s">
        <v>79</v>
      </c>
      <c r="E211" s="3" t="s">
        <v>41</v>
      </c>
      <c r="F211" s="3" t="s">
        <v>19</v>
      </c>
      <c r="G211" s="3" t="s">
        <v>57</v>
      </c>
      <c r="H211" s="3">
        <v>0</v>
      </c>
      <c r="I211" s="3">
        <v>700</v>
      </c>
      <c r="J211" s="3" t="s">
        <v>26</v>
      </c>
      <c r="K211" s="3" t="str">
        <f t="shared" si="6"/>
        <v>Thursday</v>
      </c>
      <c r="L211" s="3" t="str">
        <f t="shared" si="7"/>
        <v>Late Evening</v>
      </c>
    </row>
    <row r="212" spans="1:12" x14ac:dyDescent="0.35">
      <c r="A212" s="3" t="s">
        <v>394</v>
      </c>
      <c r="B212" s="3" t="s">
        <v>395</v>
      </c>
      <c r="C212" s="6">
        <v>46192.697916666657</v>
      </c>
      <c r="D212" s="3" t="s">
        <v>50</v>
      </c>
      <c r="E212" s="3" t="s">
        <v>37</v>
      </c>
      <c r="F212" s="3" t="s">
        <v>25</v>
      </c>
      <c r="G212" s="3" t="s">
        <v>15</v>
      </c>
      <c r="H212" s="3">
        <v>30</v>
      </c>
      <c r="I212" s="3">
        <v>500</v>
      </c>
      <c r="J212" s="3" t="s">
        <v>16</v>
      </c>
      <c r="K212" s="3" t="str">
        <f t="shared" si="6"/>
        <v>Friday</v>
      </c>
      <c r="L212" s="3" t="str">
        <f t="shared" si="7"/>
        <v>Evening</v>
      </c>
    </row>
    <row r="213" spans="1:12" x14ac:dyDescent="0.35">
      <c r="A213" s="3" t="s">
        <v>396</v>
      </c>
      <c r="B213" s="3" t="s">
        <v>357</v>
      </c>
      <c r="C213" s="6">
        <v>46072.479166666657</v>
      </c>
      <c r="D213" s="3" t="s">
        <v>36</v>
      </c>
      <c r="E213" s="3" t="s">
        <v>24</v>
      </c>
      <c r="F213" s="3" t="s">
        <v>25</v>
      </c>
      <c r="G213" s="3" t="s">
        <v>20</v>
      </c>
      <c r="H213" s="3">
        <v>0</v>
      </c>
      <c r="I213" s="3">
        <v>600</v>
      </c>
      <c r="J213" s="3" t="s">
        <v>16</v>
      </c>
      <c r="K213" s="3" t="str">
        <f t="shared" si="6"/>
        <v>Thursday</v>
      </c>
      <c r="L213" s="3" t="str">
        <f t="shared" si="7"/>
        <v>Afternoon</v>
      </c>
    </row>
    <row r="214" spans="1:12" x14ac:dyDescent="0.35">
      <c r="A214" s="3" t="s">
        <v>397</v>
      </c>
      <c r="B214" s="3" t="s">
        <v>83</v>
      </c>
      <c r="C214" s="6">
        <v>46104.6875</v>
      </c>
      <c r="D214" s="3" t="s">
        <v>23</v>
      </c>
      <c r="E214" s="3" t="s">
        <v>47</v>
      </c>
      <c r="F214" s="3" t="s">
        <v>14</v>
      </c>
      <c r="G214" s="3" t="s">
        <v>20</v>
      </c>
      <c r="H214" s="3">
        <v>0</v>
      </c>
      <c r="I214" s="3">
        <v>800</v>
      </c>
      <c r="J214" s="3" t="s">
        <v>16</v>
      </c>
      <c r="K214" s="3" t="str">
        <f t="shared" si="6"/>
        <v>Monday</v>
      </c>
      <c r="L214" s="3" t="str">
        <f t="shared" si="7"/>
        <v>Evening</v>
      </c>
    </row>
    <row r="215" spans="1:12" x14ac:dyDescent="0.35">
      <c r="A215" s="3" t="s">
        <v>398</v>
      </c>
      <c r="B215" s="3" t="s">
        <v>399</v>
      </c>
      <c r="C215" s="6">
        <v>46060.5</v>
      </c>
      <c r="D215" s="3" t="s">
        <v>46</v>
      </c>
      <c r="E215" s="3" t="s">
        <v>47</v>
      </c>
      <c r="F215" s="3" t="s">
        <v>54</v>
      </c>
      <c r="G215" s="3" t="s">
        <v>15</v>
      </c>
      <c r="H215" s="3">
        <v>40</v>
      </c>
      <c r="I215" s="3">
        <v>700</v>
      </c>
      <c r="J215" s="3" t="s">
        <v>16</v>
      </c>
      <c r="K215" s="3" t="str">
        <f t="shared" si="6"/>
        <v>Saturday</v>
      </c>
      <c r="L215" s="3" t="str">
        <f t="shared" si="7"/>
        <v>Afternoon</v>
      </c>
    </row>
    <row r="216" spans="1:12" x14ac:dyDescent="0.35">
      <c r="A216" s="3" t="s">
        <v>400</v>
      </c>
      <c r="B216" s="3" t="s">
        <v>384</v>
      </c>
      <c r="C216" s="6">
        <v>46074.729166666657</v>
      </c>
      <c r="D216" s="3" t="s">
        <v>79</v>
      </c>
      <c r="E216" s="3" t="s">
        <v>24</v>
      </c>
      <c r="F216" s="3" t="s">
        <v>14</v>
      </c>
      <c r="G216" s="3" t="s">
        <v>20</v>
      </c>
      <c r="H216" s="3">
        <v>0</v>
      </c>
      <c r="I216" s="3">
        <v>700</v>
      </c>
      <c r="J216" s="3" t="s">
        <v>26</v>
      </c>
      <c r="K216" s="3" t="str">
        <f t="shared" si="6"/>
        <v>Saturday</v>
      </c>
      <c r="L216" s="3" t="str">
        <f t="shared" si="7"/>
        <v>Late Evening</v>
      </c>
    </row>
    <row r="217" spans="1:12" x14ac:dyDescent="0.35">
      <c r="A217" s="3" t="s">
        <v>401</v>
      </c>
      <c r="B217" s="3" t="s">
        <v>307</v>
      </c>
      <c r="C217" s="6">
        <v>46194.71875</v>
      </c>
      <c r="D217" s="3" t="s">
        <v>53</v>
      </c>
      <c r="E217" s="3" t="s">
        <v>37</v>
      </c>
      <c r="F217" s="3" t="s">
        <v>14</v>
      </c>
      <c r="G217" s="3" t="s">
        <v>57</v>
      </c>
      <c r="H217" s="3">
        <v>0</v>
      </c>
      <c r="I217" s="3">
        <v>800</v>
      </c>
      <c r="J217" s="3" t="s">
        <v>16</v>
      </c>
      <c r="K217" s="3" t="str">
        <f t="shared" si="6"/>
        <v>Sunday</v>
      </c>
      <c r="L217" s="3" t="str">
        <f t="shared" si="7"/>
        <v>Late Evening</v>
      </c>
    </row>
    <row r="218" spans="1:12" x14ac:dyDescent="0.35">
      <c r="A218" s="3" t="s">
        <v>402</v>
      </c>
      <c r="B218" s="3" t="s">
        <v>138</v>
      </c>
      <c r="C218" s="6">
        <v>46048.416666666657</v>
      </c>
      <c r="D218" s="3" t="s">
        <v>36</v>
      </c>
      <c r="E218" s="3" t="s">
        <v>24</v>
      </c>
      <c r="F218" s="3" t="s">
        <v>54</v>
      </c>
      <c r="G218" s="3" t="s">
        <v>20</v>
      </c>
      <c r="H218" s="3">
        <v>0</v>
      </c>
      <c r="I218" s="3">
        <v>600</v>
      </c>
      <c r="J218" s="3" t="s">
        <v>16</v>
      </c>
      <c r="K218" s="3" t="str">
        <f t="shared" si="6"/>
        <v>Monday</v>
      </c>
      <c r="L218" s="3" t="str">
        <f t="shared" si="7"/>
        <v>Morning</v>
      </c>
    </row>
    <row r="219" spans="1:12" x14ac:dyDescent="0.35">
      <c r="A219" s="3" t="s">
        <v>403</v>
      </c>
      <c r="B219" s="3" t="s">
        <v>186</v>
      </c>
      <c r="C219" s="6">
        <v>46105.5</v>
      </c>
      <c r="D219" s="3" t="s">
        <v>23</v>
      </c>
      <c r="E219" s="3" t="s">
        <v>47</v>
      </c>
      <c r="F219" s="3" t="s">
        <v>14</v>
      </c>
      <c r="G219" s="3" t="s">
        <v>15</v>
      </c>
      <c r="H219" s="3">
        <v>10</v>
      </c>
      <c r="I219" s="3">
        <v>700</v>
      </c>
      <c r="J219" s="3" t="s">
        <v>26</v>
      </c>
      <c r="K219" s="3" t="str">
        <f t="shared" si="6"/>
        <v>Tuesday</v>
      </c>
      <c r="L219" s="3" t="str">
        <f t="shared" si="7"/>
        <v>Afternoon</v>
      </c>
    </row>
    <row r="220" spans="1:12" x14ac:dyDescent="0.35">
      <c r="A220" s="3" t="s">
        <v>404</v>
      </c>
      <c r="B220" s="3" t="s">
        <v>313</v>
      </c>
      <c r="C220" s="6">
        <v>46032.65625</v>
      </c>
      <c r="D220" s="3" t="s">
        <v>79</v>
      </c>
      <c r="E220" s="3" t="s">
        <v>37</v>
      </c>
      <c r="F220" s="3" t="s">
        <v>14</v>
      </c>
      <c r="G220" s="3" t="s">
        <v>15</v>
      </c>
      <c r="H220" s="3">
        <v>27</v>
      </c>
      <c r="I220" s="3">
        <v>700</v>
      </c>
      <c r="J220" s="3" t="s">
        <v>26</v>
      </c>
      <c r="K220" s="3" t="str">
        <f t="shared" si="6"/>
        <v>Saturday</v>
      </c>
      <c r="L220" s="3" t="str">
        <f t="shared" si="7"/>
        <v>Evening</v>
      </c>
    </row>
    <row r="221" spans="1:12" x14ac:dyDescent="0.35">
      <c r="A221" s="3" t="s">
        <v>405</v>
      </c>
      <c r="B221" s="3" t="s">
        <v>359</v>
      </c>
      <c r="C221" s="6">
        <v>46108.53125</v>
      </c>
      <c r="D221" s="3" t="s">
        <v>99</v>
      </c>
      <c r="E221" s="3" t="s">
        <v>41</v>
      </c>
      <c r="F221" s="3" t="s">
        <v>54</v>
      </c>
      <c r="G221" s="3" t="s">
        <v>57</v>
      </c>
      <c r="H221" s="3">
        <v>0</v>
      </c>
      <c r="I221" s="3">
        <v>500</v>
      </c>
      <c r="J221" s="3" t="s">
        <v>26</v>
      </c>
      <c r="K221" s="3" t="str">
        <f t="shared" si="6"/>
        <v>Friday</v>
      </c>
      <c r="L221" s="3" t="str">
        <f t="shared" si="7"/>
        <v>Afternoon</v>
      </c>
    </row>
    <row r="222" spans="1:12" x14ac:dyDescent="0.35">
      <c r="A222" s="3" t="s">
        <v>406</v>
      </c>
      <c r="B222" s="3" t="s">
        <v>160</v>
      </c>
      <c r="C222" s="6">
        <v>46092.458333333343</v>
      </c>
      <c r="D222" s="3" t="s">
        <v>50</v>
      </c>
      <c r="E222" s="3" t="s">
        <v>24</v>
      </c>
      <c r="F222" s="3" t="s">
        <v>54</v>
      </c>
      <c r="G222" s="3" t="s">
        <v>15</v>
      </c>
      <c r="H222" s="3">
        <v>31</v>
      </c>
      <c r="I222" s="3">
        <v>500</v>
      </c>
      <c r="J222" s="3" t="s">
        <v>16</v>
      </c>
      <c r="K222" s="3" t="str">
        <f t="shared" si="6"/>
        <v>Wednesday</v>
      </c>
      <c r="L222" s="3" t="str">
        <f t="shared" si="7"/>
        <v>Afternoon</v>
      </c>
    </row>
    <row r="223" spans="1:12" x14ac:dyDescent="0.35">
      <c r="A223" s="3" t="s">
        <v>407</v>
      </c>
      <c r="B223" s="3" t="s">
        <v>140</v>
      </c>
      <c r="C223" s="6">
        <v>46109.510416666657</v>
      </c>
      <c r="D223" s="3" t="s">
        <v>53</v>
      </c>
      <c r="E223" s="3" t="s">
        <v>41</v>
      </c>
      <c r="F223" s="3" t="s">
        <v>54</v>
      </c>
      <c r="G223" s="3" t="s">
        <v>15</v>
      </c>
      <c r="H223" s="3">
        <v>39</v>
      </c>
      <c r="I223" s="3">
        <v>700</v>
      </c>
      <c r="J223" s="3" t="s">
        <v>16</v>
      </c>
      <c r="K223" s="3" t="str">
        <f t="shared" si="6"/>
        <v>Saturday</v>
      </c>
      <c r="L223" s="3" t="str">
        <f t="shared" si="7"/>
        <v>Afternoon</v>
      </c>
    </row>
    <row r="224" spans="1:12" x14ac:dyDescent="0.35">
      <c r="A224" s="3" t="s">
        <v>408</v>
      </c>
      <c r="B224" s="3" t="s">
        <v>409</v>
      </c>
      <c r="C224" s="6">
        <v>46045.625</v>
      </c>
      <c r="D224" s="3" t="s">
        <v>50</v>
      </c>
      <c r="E224" s="3" t="s">
        <v>13</v>
      </c>
      <c r="F224" s="3" t="s">
        <v>25</v>
      </c>
      <c r="G224" s="3" t="s">
        <v>15</v>
      </c>
      <c r="H224" s="3">
        <v>13</v>
      </c>
      <c r="I224" s="3">
        <v>500</v>
      </c>
      <c r="J224" s="3" t="s">
        <v>26</v>
      </c>
      <c r="K224" s="3" t="str">
        <f t="shared" si="6"/>
        <v>Friday</v>
      </c>
      <c r="L224" s="3" t="str">
        <f t="shared" si="7"/>
        <v>Evening</v>
      </c>
    </row>
    <row r="225" spans="1:12" x14ac:dyDescent="0.35">
      <c r="A225" s="3" t="s">
        <v>410</v>
      </c>
      <c r="B225" s="3" t="s">
        <v>121</v>
      </c>
      <c r="C225" s="6">
        <v>46121.489583333343</v>
      </c>
      <c r="D225" s="3" t="s">
        <v>31</v>
      </c>
      <c r="E225" s="3" t="s">
        <v>37</v>
      </c>
      <c r="F225" s="3" t="s">
        <v>14</v>
      </c>
      <c r="G225" s="3" t="s">
        <v>15</v>
      </c>
      <c r="H225" s="3">
        <v>19</v>
      </c>
      <c r="I225" s="3">
        <v>1000</v>
      </c>
      <c r="J225" s="3" t="s">
        <v>16</v>
      </c>
      <c r="K225" s="3" t="str">
        <f t="shared" si="6"/>
        <v>Thursday</v>
      </c>
      <c r="L225" s="3" t="str">
        <f t="shared" si="7"/>
        <v>Afternoon</v>
      </c>
    </row>
    <row r="226" spans="1:12" x14ac:dyDescent="0.35">
      <c r="A226" s="3" t="s">
        <v>411</v>
      </c>
      <c r="B226" s="3" t="s">
        <v>412</v>
      </c>
      <c r="C226" s="6">
        <v>46038.40625</v>
      </c>
      <c r="D226" s="3" t="s">
        <v>99</v>
      </c>
      <c r="E226" s="3" t="s">
        <v>37</v>
      </c>
      <c r="F226" s="3" t="s">
        <v>25</v>
      </c>
      <c r="G226" s="3" t="s">
        <v>15</v>
      </c>
      <c r="H226" s="3">
        <v>28</v>
      </c>
      <c r="I226" s="3">
        <v>600</v>
      </c>
      <c r="J226" s="3" t="s">
        <v>26</v>
      </c>
      <c r="K226" s="3" t="str">
        <f t="shared" si="6"/>
        <v>Friday</v>
      </c>
      <c r="L226" s="3" t="str">
        <f t="shared" si="7"/>
        <v>Morning</v>
      </c>
    </row>
    <row r="227" spans="1:12" x14ac:dyDescent="0.35">
      <c r="A227" s="3" t="s">
        <v>413</v>
      </c>
      <c r="B227" s="3" t="s">
        <v>362</v>
      </c>
      <c r="C227" s="6">
        <v>46180.46875</v>
      </c>
      <c r="D227" s="3" t="s">
        <v>36</v>
      </c>
      <c r="E227" s="3" t="s">
        <v>47</v>
      </c>
      <c r="F227" s="3" t="s">
        <v>54</v>
      </c>
      <c r="G227" s="3" t="s">
        <v>15</v>
      </c>
      <c r="H227" s="3">
        <v>25</v>
      </c>
      <c r="I227" s="3">
        <v>700</v>
      </c>
      <c r="J227" s="3" t="s">
        <v>16</v>
      </c>
      <c r="K227" s="3" t="str">
        <f t="shared" si="6"/>
        <v>Sunday</v>
      </c>
      <c r="L227" s="3" t="str">
        <f t="shared" si="7"/>
        <v>Afternoon</v>
      </c>
    </row>
    <row r="228" spans="1:12" x14ac:dyDescent="0.35">
      <c r="A228" s="3" t="s">
        <v>414</v>
      </c>
      <c r="B228" s="3" t="s">
        <v>65</v>
      </c>
      <c r="C228" s="6">
        <v>46160.46875</v>
      </c>
      <c r="D228" s="3" t="s">
        <v>46</v>
      </c>
      <c r="E228" s="3" t="s">
        <v>41</v>
      </c>
      <c r="F228" s="3" t="s">
        <v>14</v>
      </c>
      <c r="G228" s="3" t="s">
        <v>57</v>
      </c>
      <c r="H228" s="3">
        <v>0</v>
      </c>
      <c r="I228" s="3">
        <v>600</v>
      </c>
      <c r="J228" s="3" t="s">
        <v>16</v>
      </c>
      <c r="K228" s="3" t="str">
        <f t="shared" si="6"/>
        <v>Monday</v>
      </c>
      <c r="L228" s="3" t="str">
        <f t="shared" si="7"/>
        <v>Afternoon</v>
      </c>
    </row>
    <row r="229" spans="1:12" x14ac:dyDescent="0.35">
      <c r="A229" s="3" t="s">
        <v>415</v>
      </c>
      <c r="B229" s="3" t="s">
        <v>321</v>
      </c>
      <c r="C229" s="6">
        <v>46042.75</v>
      </c>
      <c r="D229" s="3" t="s">
        <v>50</v>
      </c>
      <c r="E229" s="3" t="s">
        <v>24</v>
      </c>
      <c r="F229" s="3" t="s">
        <v>19</v>
      </c>
      <c r="G229" s="3" t="s">
        <v>15</v>
      </c>
      <c r="H229" s="3">
        <v>31</v>
      </c>
      <c r="I229" s="3">
        <v>400</v>
      </c>
      <c r="J229" s="3" t="s">
        <v>26</v>
      </c>
      <c r="K229" s="3" t="str">
        <f t="shared" si="6"/>
        <v>Tuesday</v>
      </c>
      <c r="L229" s="3" t="str">
        <f t="shared" si="7"/>
        <v>Late Evening</v>
      </c>
    </row>
    <row r="230" spans="1:12" x14ac:dyDescent="0.35">
      <c r="A230" s="3" t="s">
        <v>416</v>
      </c>
      <c r="B230" s="3" t="s">
        <v>417</v>
      </c>
      <c r="C230" s="6">
        <v>46156.666666666657</v>
      </c>
      <c r="D230" s="3" t="s">
        <v>23</v>
      </c>
      <c r="E230" s="3" t="s">
        <v>41</v>
      </c>
      <c r="F230" s="3" t="s">
        <v>54</v>
      </c>
      <c r="G230" s="3" t="s">
        <v>57</v>
      </c>
      <c r="H230" s="3">
        <v>0</v>
      </c>
      <c r="I230" s="3">
        <v>800</v>
      </c>
      <c r="J230" s="3" t="s">
        <v>26</v>
      </c>
      <c r="K230" s="3" t="str">
        <f t="shared" si="6"/>
        <v>Thursday</v>
      </c>
      <c r="L230" s="3" t="str">
        <f t="shared" si="7"/>
        <v>Evening</v>
      </c>
    </row>
    <row r="231" spans="1:12" x14ac:dyDescent="0.35">
      <c r="A231" s="3" t="s">
        <v>418</v>
      </c>
      <c r="B231" s="3" t="s">
        <v>276</v>
      </c>
      <c r="C231" s="6">
        <v>46037.677083333343</v>
      </c>
      <c r="D231" s="3" t="s">
        <v>50</v>
      </c>
      <c r="E231" s="3" t="s">
        <v>37</v>
      </c>
      <c r="F231" s="3" t="s">
        <v>14</v>
      </c>
      <c r="G231" s="3" t="s">
        <v>20</v>
      </c>
      <c r="H231" s="3">
        <v>0</v>
      </c>
      <c r="I231" s="3">
        <v>600</v>
      </c>
      <c r="J231" s="3" t="s">
        <v>16</v>
      </c>
      <c r="K231" s="3" t="str">
        <f t="shared" si="6"/>
        <v>Thursday</v>
      </c>
      <c r="L231" s="3" t="str">
        <f t="shared" si="7"/>
        <v>Evening</v>
      </c>
    </row>
    <row r="232" spans="1:12" x14ac:dyDescent="0.35">
      <c r="A232" s="3" t="s">
        <v>419</v>
      </c>
      <c r="B232" s="3" t="s">
        <v>420</v>
      </c>
      <c r="C232" s="6">
        <v>46124.5</v>
      </c>
      <c r="D232" s="3" t="s">
        <v>99</v>
      </c>
      <c r="E232" s="3" t="s">
        <v>47</v>
      </c>
      <c r="F232" s="3" t="s">
        <v>14</v>
      </c>
      <c r="G232" s="3" t="s">
        <v>57</v>
      </c>
      <c r="H232" s="3">
        <v>0</v>
      </c>
      <c r="I232" s="3">
        <v>600</v>
      </c>
      <c r="J232" s="3" t="s">
        <v>26</v>
      </c>
      <c r="K232" s="3" t="str">
        <f t="shared" si="6"/>
        <v>Sunday</v>
      </c>
      <c r="L232" s="3" t="str">
        <f t="shared" si="7"/>
        <v>Afternoon</v>
      </c>
    </row>
    <row r="233" spans="1:12" x14ac:dyDescent="0.35">
      <c r="A233" s="3" t="s">
        <v>421</v>
      </c>
      <c r="B233" s="3" t="s">
        <v>350</v>
      </c>
      <c r="C233" s="6">
        <v>46202.375</v>
      </c>
      <c r="D233" s="3" t="s">
        <v>46</v>
      </c>
      <c r="E233" s="3" t="s">
        <v>24</v>
      </c>
      <c r="F233" s="3" t="s">
        <v>25</v>
      </c>
      <c r="G233" s="3" t="s">
        <v>15</v>
      </c>
      <c r="H233" s="3">
        <v>29</v>
      </c>
      <c r="I233" s="3">
        <v>800</v>
      </c>
      <c r="J233" s="3" t="s">
        <v>16</v>
      </c>
      <c r="K233" s="3" t="str">
        <f t="shared" si="6"/>
        <v>Monday</v>
      </c>
      <c r="L233" s="3" t="str">
        <f t="shared" si="7"/>
        <v>Morning</v>
      </c>
    </row>
    <row r="234" spans="1:12" x14ac:dyDescent="0.35">
      <c r="A234" s="3" t="s">
        <v>422</v>
      </c>
      <c r="B234" s="3" t="s">
        <v>59</v>
      </c>
      <c r="C234" s="6">
        <v>46187.645833333343</v>
      </c>
      <c r="D234" s="3" t="s">
        <v>53</v>
      </c>
      <c r="E234" s="3" t="s">
        <v>13</v>
      </c>
      <c r="F234" s="3" t="s">
        <v>54</v>
      </c>
      <c r="G234" s="3" t="s">
        <v>15</v>
      </c>
      <c r="H234" s="3">
        <v>21</v>
      </c>
      <c r="I234" s="3">
        <v>900</v>
      </c>
      <c r="J234" s="3" t="s">
        <v>16</v>
      </c>
      <c r="K234" s="3" t="str">
        <f t="shared" si="6"/>
        <v>Sunday</v>
      </c>
      <c r="L234" s="3" t="str">
        <f t="shared" si="7"/>
        <v>Evening</v>
      </c>
    </row>
    <row r="235" spans="1:12" x14ac:dyDescent="0.35">
      <c r="A235" s="3" t="s">
        <v>423</v>
      </c>
      <c r="B235" s="3" t="s">
        <v>381</v>
      </c>
      <c r="C235" s="6">
        <v>46190.583333333343</v>
      </c>
      <c r="D235" s="3" t="s">
        <v>12</v>
      </c>
      <c r="E235" s="3" t="s">
        <v>13</v>
      </c>
      <c r="F235" s="3" t="s">
        <v>19</v>
      </c>
      <c r="G235" s="3" t="s">
        <v>15</v>
      </c>
      <c r="H235" s="3">
        <v>37</v>
      </c>
      <c r="I235" s="3">
        <v>900</v>
      </c>
      <c r="J235" s="3" t="s">
        <v>26</v>
      </c>
      <c r="K235" s="3" t="str">
        <f t="shared" si="6"/>
        <v>Wednesday</v>
      </c>
      <c r="L235" s="3" t="str">
        <f t="shared" si="7"/>
        <v>Evening</v>
      </c>
    </row>
    <row r="236" spans="1:12" x14ac:dyDescent="0.35">
      <c r="A236" s="3" t="s">
        <v>424</v>
      </c>
      <c r="B236" s="3" t="s">
        <v>344</v>
      </c>
      <c r="C236" s="6">
        <v>46099.697916666657</v>
      </c>
      <c r="D236" s="3" t="s">
        <v>12</v>
      </c>
      <c r="E236" s="3" t="s">
        <v>47</v>
      </c>
      <c r="F236" s="3" t="s">
        <v>19</v>
      </c>
      <c r="G236" s="3" t="s">
        <v>20</v>
      </c>
      <c r="H236" s="3">
        <v>0</v>
      </c>
      <c r="I236" s="3">
        <v>1100</v>
      </c>
      <c r="J236" s="3" t="s">
        <v>26</v>
      </c>
      <c r="K236" s="3" t="str">
        <f t="shared" si="6"/>
        <v>Wednesday</v>
      </c>
      <c r="L236" s="3" t="str">
        <f t="shared" si="7"/>
        <v>Evening</v>
      </c>
    </row>
    <row r="237" spans="1:12" x14ac:dyDescent="0.35">
      <c r="A237" s="3" t="s">
        <v>425</v>
      </c>
      <c r="B237" s="3" t="s">
        <v>350</v>
      </c>
      <c r="C237" s="6">
        <v>46062.510416666657</v>
      </c>
      <c r="D237" s="3" t="s">
        <v>46</v>
      </c>
      <c r="E237" s="3" t="s">
        <v>24</v>
      </c>
      <c r="F237" s="3" t="s">
        <v>54</v>
      </c>
      <c r="G237" s="3" t="s">
        <v>57</v>
      </c>
      <c r="H237" s="3">
        <v>0</v>
      </c>
      <c r="I237" s="3">
        <v>700</v>
      </c>
      <c r="J237" s="3" t="s">
        <v>26</v>
      </c>
      <c r="K237" s="3" t="str">
        <f t="shared" si="6"/>
        <v>Monday</v>
      </c>
      <c r="L237" s="3" t="str">
        <f t="shared" si="7"/>
        <v>Afternoon</v>
      </c>
    </row>
    <row r="238" spans="1:12" x14ac:dyDescent="0.35">
      <c r="A238" s="3" t="s">
        <v>426</v>
      </c>
      <c r="B238" s="3" t="s">
        <v>125</v>
      </c>
      <c r="C238" s="6">
        <v>46040.375</v>
      </c>
      <c r="D238" s="3" t="s">
        <v>53</v>
      </c>
      <c r="E238" s="3" t="s">
        <v>13</v>
      </c>
      <c r="F238" s="3" t="s">
        <v>14</v>
      </c>
      <c r="G238" s="3" t="s">
        <v>15</v>
      </c>
      <c r="H238" s="3">
        <v>33</v>
      </c>
      <c r="I238" s="3">
        <v>700</v>
      </c>
      <c r="J238" s="3" t="s">
        <v>26</v>
      </c>
      <c r="K238" s="3" t="str">
        <f t="shared" si="6"/>
        <v>Sunday</v>
      </c>
      <c r="L238" s="3" t="str">
        <f t="shared" si="7"/>
        <v>Morning</v>
      </c>
    </row>
    <row r="239" spans="1:12" x14ac:dyDescent="0.35">
      <c r="A239" s="3" t="s">
        <v>427</v>
      </c>
      <c r="B239" s="3" t="s">
        <v>216</v>
      </c>
      <c r="C239" s="6">
        <v>46135.46875</v>
      </c>
      <c r="D239" s="3" t="s">
        <v>31</v>
      </c>
      <c r="E239" s="3" t="s">
        <v>41</v>
      </c>
      <c r="F239" s="3" t="s">
        <v>25</v>
      </c>
      <c r="G239" s="3" t="s">
        <v>15</v>
      </c>
      <c r="H239" s="3">
        <v>26</v>
      </c>
      <c r="I239" s="3">
        <v>1000</v>
      </c>
      <c r="J239" s="3" t="s">
        <v>26</v>
      </c>
      <c r="K239" s="3" t="str">
        <f t="shared" si="6"/>
        <v>Thursday</v>
      </c>
      <c r="L239" s="3" t="str">
        <f t="shared" si="7"/>
        <v>Afternoon</v>
      </c>
    </row>
    <row r="240" spans="1:12" x14ac:dyDescent="0.35">
      <c r="A240" s="3" t="s">
        <v>428</v>
      </c>
      <c r="B240" s="3" t="s">
        <v>313</v>
      </c>
      <c r="C240" s="6">
        <v>46170.770833333343</v>
      </c>
      <c r="D240" s="3" t="s">
        <v>50</v>
      </c>
      <c r="E240" s="3" t="s">
        <v>47</v>
      </c>
      <c r="F240" s="3" t="s">
        <v>19</v>
      </c>
      <c r="G240" s="3" t="s">
        <v>15</v>
      </c>
      <c r="H240" s="3">
        <v>50</v>
      </c>
      <c r="I240" s="3">
        <v>500</v>
      </c>
      <c r="J240" s="3" t="s">
        <v>26</v>
      </c>
      <c r="K240" s="3" t="str">
        <f t="shared" si="6"/>
        <v>Thursday</v>
      </c>
      <c r="L240" s="3" t="str">
        <f t="shared" si="7"/>
        <v>Late Evening</v>
      </c>
    </row>
    <row r="241" spans="1:12" x14ac:dyDescent="0.35">
      <c r="A241" s="3" t="s">
        <v>429</v>
      </c>
      <c r="B241" s="3" t="s">
        <v>430</v>
      </c>
      <c r="C241" s="6">
        <v>46093.34375</v>
      </c>
      <c r="D241" s="3" t="s">
        <v>46</v>
      </c>
      <c r="E241" s="3" t="s">
        <v>37</v>
      </c>
      <c r="F241" s="3" t="s">
        <v>54</v>
      </c>
      <c r="G241" s="3" t="s">
        <v>57</v>
      </c>
      <c r="H241" s="3">
        <v>0</v>
      </c>
      <c r="I241" s="3">
        <v>800</v>
      </c>
      <c r="J241" s="3" t="s">
        <v>26</v>
      </c>
      <c r="K241" s="3" t="str">
        <f t="shared" si="6"/>
        <v>Thursday</v>
      </c>
      <c r="L241" s="3" t="str">
        <f t="shared" si="7"/>
        <v>Morning</v>
      </c>
    </row>
    <row r="242" spans="1:12" x14ac:dyDescent="0.35">
      <c r="A242" s="3" t="s">
        <v>431</v>
      </c>
      <c r="B242" s="3" t="s">
        <v>96</v>
      </c>
      <c r="C242" s="6">
        <v>46157.614583333343</v>
      </c>
      <c r="D242" s="3" t="s">
        <v>36</v>
      </c>
      <c r="E242" s="3" t="s">
        <v>41</v>
      </c>
      <c r="F242" s="3" t="s">
        <v>54</v>
      </c>
      <c r="G242" s="3" t="s">
        <v>15</v>
      </c>
      <c r="H242" s="3">
        <v>27</v>
      </c>
      <c r="I242" s="3">
        <v>600</v>
      </c>
      <c r="J242" s="3" t="s">
        <v>26</v>
      </c>
      <c r="K242" s="3" t="str">
        <f t="shared" si="6"/>
        <v>Friday</v>
      </c>
      <c r="L242" s="3" t="str">
        <f t="shared" si="7"/>
        <v>Evening</v>
      </c>
    </row>
    <row r="243" spans="1:12" x14ac:dyDescent="0.35">
      <c r="A243" s="3" t="s">
        <v>432</v>
      </c>
      <c r="B243" s="3" t="s">
        <v>73</v>
      </c>
      <c r="C243" s="6">
        <v>46084.479166666657</v>
      </c>
      <c r="D243" s="3" t="s">
        <v>50</v>
      </c>
      <c r="E243" s="3" t="s">
        <v>41</v>
      </c>
      <c r="F243" s="3" t="s">
        <v>54</v>
      </c>
      <c r="G243" s="3" t="s">
        <v>57</v>
      </c>
      <c r="H243" s="3">
        <v>0</v>
      </c>
      <c r="I243" s="3">
        <v>500</v>
      </c>
      <c r="J243" s="3" t="s">
        <v>26</v>
      </c>
      <c r="K243" s="3" t="str">
        <f t="shared" si="6"/>
        <v>Tuesday</v>
      </c>
      <c r="L243" s="3" t="str">
        <f t="shared" si="7"/>
        <v>Afternoon</v>
      </c>
    </row>
    <row r="244" spans="1:12" x14ac:dyDescent="0.35">
      <c r="A244" s="3" t="s">
        <v>433</v>
      </c>
      <c r="B244" s="3" t="s">
        <v>434</v>
      </c>
      <c r="C244" s="6">
        <v>46129.71875</v>
      </c>
      <c r="D244" s="3" t="s">
        <v>50</v>
      </c>
      <c r="E244" s="3" t="s">
        <v>13</v>
      </c>
      <c r="F244" s="3" t="s">
        <v>19</v>
      </c>
      <c r="G244" s="3" t="s">
        <v>15</v>
      </c>
      <c r="H244" s="3">
        <v>13</v>
      </c>
      <c r="I244" s="3">
        <v>500</v>
      </c>
      <c r="J244" s="3" t="s">
        <v>16</v>
      </c>
      <c r="K244" s="3" t="str">
        <f t="shared" si="6"/>
        <v>Friday</v>
      </c>
      <c r="L244" s="3" t="str">
        <f t="shared" si="7"/>
        <v>Late Evening</v>
      </c>
    </row>
    <row r="245" spans="1:12" x14ac:dyDescent="0.35">
      <c r="A245" s="3" t="s">
        <v>435</v>
      </c>
      <c r="B245" s="3" t="s">
        <v>436</v>
      </c>
      <c r="C245" s="6">
        <v>46117.385416666657</v>
      </c>
      <c r="D245" s="3" t="s">
        <v>31</v>
      </c>
      <c r="E245" s="3" t="s">
        <v>24</v>
      </c>
      <c r="F245" s="3" t="s">
        <v>14</v>
      </c>
      <c r="G245" s="3" t="s">
        <v>15</v>
      </c>
      <c r="H245" s="3">
        <v>240</v>
      </c>
      <c r="I245" s="3">
        <v>1000</v>
      </c>
      <c r="J245" s="3" t="s">
        <v>26</v>
      </c>
      <c r="K245" s="3" t="str">
        <f t="shared" si="6"/>
        <v>Sunday</v>
      </c>
      <c r="L245" s="3" t="str">
        <f t="shared" si="7"/>
        <v>Morning</v>
      </c>
    </row>
    <row r="246" spans="1:12" x14ac:dyDescent="0.35">
      <c r="A246" s="3" t="s">
        <v>437</v>
      </c>
      <c r="B246" s="3" t="s">
        <v>43</v>
      </c>
      <c r="C246" s="6">
        <v>46145.479166666657</v>
      </c>
      <c r="D246" s="3" t="s">
        <v>53</v>
      </c>
      <c r="E246" s="3" t="s">
        <v>47</v>
      </c>
      <c r="F246" s="3" t="s">
        <v>19</v>
      </c>
      <c r="G246" s="3" t="s">
        <v>15</v>
      </c>
      <c r="H246" s="3">
        <v>18</v>
      </c>
      <c r="I246" s="3">
        <v>800</v>
      </c>
      <c r="J246" s="3" t="s">
        <v>26</v>
      </c>
      <c r="K246" s="3" t="str">
        <f t="shared" si="6"/>
        <v>Sunday</v>
      </c>
      <c r="L246" s="3" t="str">
        <f t="shared" si="7"/>
        <v>Afternoon</v>
      </c>
    </row>
    <row r="247" spans="1:12" x14ac:dyDescent="0.35">
      <c r="A247" s="3" t="s">
        <v>438</v>
      </c>
      <c r="B247" s="3" t="s">
        <v>103</v>
      </c>
      <c r="C247" s="6">
        <v>46201.760416666657</v>
      </c>
      <c r="D247" s="3" t="s">
        <v>79</v>
      </c>
      <c r="E247" s="3" t="s">
        <v>47</v>
      </c>
      <c r="F247" s="3" t="s">
        <v>25</v>
      </c>
      <c r="G247" s="3" t="s">
        <v>15</v>
      </c>
      <c r="H247" s="3">
        <v>34</v>
      </c>
      <c r="I247" s="3">
        <v>700</v>
      </c>
      <c r="J247" s="3" t="s">
        <v>16</v>
      </c>
      <c r="K247" s="3" t="str">
        <f t="shared" si="6"/>
        <v>Sunday</v>
      </c>
      <c r="L247" s="3" t="str">
        <f t="shared" si="7"/>
        <v>Late Evening</v>
      </c>
    </row>
    <row r="248" spans="1:12" x14ac:dyDescent="0.35">
      <c r="A248" s="3" t="s">
        <v>439</v>
      </c>
      <c r="B248" s="3" t="s">
        <v>440</v>
      </c>
      <c r="C248" s="6">
        <v>46159.604166666657</v>
      </c>
      <c r="D248" s="3" t="s">
        <v>46</v>
      </c>
      <c r="E248" s="3" t="s">
        <v>13</v>
      </c>
      <c r="F248" s="3" t="s">
        <v>54</v>
      </c>
      <c r="G248" s="3" t="s">
        <v>15</v>
      </c>
      <c r="H248" s="3">
        <v>38</v>
      </c>
      <c r="I248" s="3">
        <v>700</v>
      </c>
      <c r="J248" s="3" t="s">
        <v>16</v>
      </c>
      <c r="K248" s="3" t="str">
        <f t="shared" si="6"/>
        <v>Sunday</v>
      </c>
      <c r="L248" s="3" t="str">
        <f t="shared" si="7"/>
        <v>Evening</v>
      </c>
    </row>
    <row r="249" spans="1:12" x14ac:dyDescent="0.35">
      <c r="A249" s="3" t="s">
        <v>441</v>
      </c>
      <c r="B249" s="3" t="s">
        <v>214</v>
      </c>
      <c r="C249" s="6">
        <v>46104.479166666657</v>
      </c>
      <c r="D249" s="3" t="s">
        <v>31</v>
      </c>
      <c r="E249" s="3" t="s">
        <v>13</v>
      </c>
      <c r="F249" s="3" t="s">
        <v>19</v>
      </c>
      <c r="G249" s="3" t="s">
        <v>15</v>
      </c>
      <c r="H249" s="3">
        <v>25</v>
      </c>
      <c r="I249" s="3">
        <v>1100</v>
      </c>
      <c r="J249" s="3" t="s">
        <v>26</v>
      </c>
      <c r="K249" s="3" t="str">
        <f t="shared" si="6"/>
        <v>Monday</v>
      </c>
      <c r="L249" s="3" t="str">
        <f t="shared" si="7"/>
        <v>Afternoon</v>
      </c>
    </row>
    <row r="250" spans="1:12" x14ac:dyDescent="0.35">
      <c r="A250" s="3" t="s">
        <v>442</v>
      </c>
      <c r="B250" s="3" t="s">
        <v>229</v>
      </c>
      <c r="C250" s="6">
        <v>46164.78125</v>
      </c>
      <c r="D250" s="3" t="s">
        <v>31</v>
      </c>
      <c r="E250" s="3" t="s">
        <v>47</v>
      </c>
      <c r="F250" s="3" t="s">
        <v>25</v>
      </c>
      <c r="G250" s="3" t="s">
        <v>15</v>
      </c>
      <c r="H250" s="3">
        <v>46</v>
      </c>
      <c r="I250" s="3">
        <v>1000</v>
      </c>
      <c r="J250" s="3" t="s">
        <v>26</v>
      </c>
      <c r="K250" s="3" t="str">
        <f t="shared" si="6"/>
        <v>Friday</v>
      </c>
      <c r="L250" s="3" t="str">
        <f t="shared" si="7"/>
        <v>Late Evening</v>
      </c>
    </row>
    <row r="251" spans="1:12" x14ac:dyDescent="0.35">
      <c r="A251" s="3" t="s">
        <v>443</v>
      </c>
      <c r="B251" s="3" t="s">
        <v>444</v>
      </c>
      <c r="C251" s="6">
        <v>46150.729166666657</v>
      </c>
      <c r="D251" s="3" t="s">
        <v>79</v>
      </c>
      <c r="E251" s="3" t="s">
        <v>24</v>
      </c>
      <c r="F251" s="3" t="s">
        <v>54</v>
      </c>
      <c r="G251" s="3" t="s">
        <v>15</v>
      </c>
      <c r="H251" s="3">
        <v>29</v>
      </c>
      <c r="I251" s="3">
        <v>800</v>
      </c>
      <c r="J251" s="3" t="s">
        <v>16</v>
      </c>
      <c r="K251" s="3" t="str">
        <f t="shared" si="6"/>
        <v>Friday</v>
      </c>
      <c r="L251" s="3" t="str">
        <f t="shared" si="7"/>
        <v>Late Evening</v>
      </c>
    </row>
    <row r="252" spans="1:12" x14ac:dyDescent="0.35">
      <c r="A252" s="3" t="s">
        <v>445</v>
      </c>
      <c r="B252" s="3" t="s">
        <v>296</v>
      </c>
      <c r="C252" s="6">
        <v>46066.447916666657</v>
      </c>
      <c r="D252" s="3" t="s">
        <v>23</v>
      </c>
      <c r="E252" s="3" t="s">
        <v>13</v>
      </c>
      <c r="F252" s="3" t="s">
        <v>14</v>
      </c>
      <c r="G252" s="3" t="s">
        <v>15</v>
      </c>
      <c r="H252" s="3">
        <v>39</v>
      </c>
      <c r="I252" s="3">
        <v>700</v>
      </c>
      <c r="J252" s="3" t="s">
        <v>26</v>
      </c>
      <c r="K252" s="3" t="str">
        <f t="shared" si="6"/>
        <v>Friday</v>
      </c>
      <c r="L252" s="3" t="str">
        <f t="shared" si="7"/>
        <v>Morning</v>
      </c>
    </row>
    <row r="253" spans="1:12" x14ac:dyDescent="0.35">
      <c r="A253" s="3" t="s">
        <v>446</v>
      </c>
      <c r="B253" s="3" t="s">
        <v>117</v>
      </c>
      <c r="C253" s="6">
        <v>46024.635416666657</v>
      </c>
      <c r="D253" s="3" t="s">
        <v>12</v>
      </c>
      <c r="E253" s="3" t="s">
        <v>24</v>
      </c>
      <c r="F253" s="3" t="s">
        <v>19</v>
      </c>
      <c r="G253" s="3" t="s">
        <v>57</v>
      </c>
      <c r="H253" s="3">
        <v>0</v>
      </c>
      <c r="I253" s="3">
        <v>1000</v>
      </c>
      <c r="J253" s="3" t="s">
        <v>26</v>
      </c>
      <c r="K253" s="3" t="str">
        <f t="shared" si="6"/>
        <v>Friday</v>
      </c>
      <c r="L253" s="3" t="str">
        <f t="shared" si="7"/>
        <v>Evening</v>
      </c>
    </row>
    <row r="254" spans="1:12" x14ac:dyDescent="0.35">
      <c r="A254" s="3" t="s">
        <v>447</v>
      </c>
      <c r="B254" s="3" t="s">
        <v>448</v>
      </c>
      <c r="C254" s="6">
        <v>46118.364583333343</v>
      </c>
      <c r="D254" s="3" t="s">
        <v>23</v>
      </c>
      <c r="E254" s="3" t="s">
        <v>13</v>
      </c>
      <c r="F254" s="3" t="s">
        <v>14</v>
      </c>
      <c r="G254" s="3" t="s">
        <v>57</v>
      </c>
      <c r="H254" s="3">
        <v>0</v>
      </c>
      <c r="I254" s="3">
        <v>900</v>
      </c>
      <c r="J254" s="3" t="s">
        <v>16</v>
      </c>
      <c r="K254" s="3" t="str">
        <f t="shared" si="6"/>
        <v>Monday</v>
      </c>
      <c r="L254" s="3" t="str">
        <f t="shared" si="7"/>
        <v>Morning</v>
      </c>
    </row>
    <row r="255" spans="1:12" x14ac:dyDescent="0.35">
      <c r="A255" s="3" t="s">
        <v>449</v>
      </c>
      <c r="B255" s="3" t="s">
        <v>132</v>
      </c>
      <c r="C255" s="6">
        <v>46158.520833333343</v>
      </c>
      <c r="D255" s="3" t="s">
        <v>12</v>
      </c>
      <c r="E255" s="3" t="s">
        <v>13</v>
      </c>
      <c r="F255" s="3" t="s">
        <v>54</v>
      </c>
      <c r="G255" s="3" t="s">
        <v>15</v>
      </c>
      <c r="H255" s="3">
        <v>57</v>
      </c>
      <c r="I255" s="3">
        <v>900</v>
      </c>
      <c r="J255" s="3" t="s">
        <v>26</v>
      </c>
      <c r="K255" s="3" t="str">
        <f t="shared" si="6"/>
        <v>Saturday</v>
      </c>
      <c r="L255" s="3" t="str">
        <f t="shared" si="7"/>
        <v>Afternoon</v>
      </c>
    </row>
    <row r="256" spans="1:12" x14ac:dyDescent="0.35">
      <c r="A256" s="3" t="s">
        <v>450</v>
      </c>
      <c r="B256" s="3" t="s">
        <v>359</v>
      </c>
      <c r="C256" s="6">
        <v>46157.427083333343</v>
      </c>
      <c r="D256" s="3" t="s">
        <v>12</v>
      </c>
      <c r="E256" s="3" t="s">
        <v>37</v>
      </c>
      <c r="F256" s="3" t="s">
        <v>25</v>
      </c>
      <c r="G256" s="3" t="s">
        <v>15</v>
      </c>
      <c r="H256" s="3">
        <v>32</v>
      </c>
      <c r="I256" s="3">
        <v>900</v>
      </c>
      <c r="J256" s="3" t="s">
        <v>16</v>
      </c>
      <c r="K256" s="3" t="str">
        <f t="shared" si="6"/>
        <v>Friday</v>
      </c>
      <c r="L256" s="3" t="str">
        <f t="shared" si="7"/>
        <v>Morning</v>
      </c>
    </row>
    <row r="257" spans="1:12" x14ac:dyDescent="0.35">
      <c r="A257" s="3" t="s">
        <v>451</v>
      </c>
      <c r="B257" s="3" t="s">
        <v>251</v>
      </c>
      <c r="C257" s="6">
        <v>46043.614583333343</v>
      </c>
      <c r="D257" s="3" t="s">
        <v>36</v>
      </c>
      <c r="E257" s="3" t="s">
        <v>13</v>
      </c>
      <c r="F257" s="3" t="s">
        <v>19</v>
      </c>
      <c r="G257" s="3" t="s">
        <v>15</v>
      </c>
      <c r="H257" s="3">
        <v>12</v>
      </c>
      <c r="I257" s="3">
        <v>500</v>
      </c>
      <c r="J257" s="3" t="s">
        <v>16</v>
      </c>
      <c r="K257" s="3" t="str">
        <f t="shared" si="6"/>
        <v>Wednesday</v>
      </c>
      <c r="L257" s="3" t="str">
        <f t="shared" si="7"/>
        <v>Evening</v>
      </c>
    </row>
    <row r="258" spans="1:12" x14ac:dyDescent="0.35">
      <c r="A258" s="3" t="s">
        <v>452</v>
      </c>
      <c r="B258" s="3" t="s">
        <v>453</v>
      </c>
      <c r="C258" s="6">
        <v>46046.65625</v>
      </c>
      <c r="D258" s="3" t="s">
        <v>12</v>
      </c>
      <c r="E258" s="3" t="s">
        <v>24</v>
      </c>
      <c r="F258" s="3" t="s">
        <v>14</v>
      </c>
      <c r="G258" s="3" t="s">
        <v>15</v>
      </c>
      <c r="H258" s="3">
        <v>24</v>
      </c>
      <c r="I258" s="3">
        <v>900</v>
      </c>
      <c r="J258" s="3" t="s">
        <v>26</v>
      </c>
      <c r="K258" s="3" t="str">
        <f t="shared" si="6"/>
        <v>Saturday</v>
      </c>
      <c r="L258" s="3" t="str">
        <f t="shared" si="7"/>
        <v>Evening</v>
      </c>
    </row>
    <row r="259" spans="1:12" x14ac:dyDescent="0.35">
      <c r="A259" s="3" t="s">
        <v>454</v>
      </c>
      <c r="B259" s="3" t="s">
        <v>455</v>
      </c>
      <c r="C259" s="6">
        <v>46150.645833333343</v>
      </c>
      <c r="D259" s="3" t="s">
        <v>53</v>
      </c>
      <c r="E259" s="3" t="s">
        <v>24</v>
      </c>
      <c r="F259" s="3" t="s">
        <v>14</v>
      </c>
      <c r="G259" s="3" t="s">
        <v>20</v>
      </c>
      <c r="H259" s="3">
        <v>0</v>
      </c>
      <c r="I259" s="3">
        <v>800</v>
      </c>
      <c r="J259" s="3" t="s">
        <v>26</v>
      </c>
      <c r="K259" s="3" t="str">
        <f t="shared" ref="K259:K322" si="8">TEXT(C259,"dddd")</f>
        <v>Friday</v>
      </c>
      <c r="L259" s="3" t="str">
        <f t="shared" ref="L259:L322" si="9">IF(HOUR(C259)&lt;11,"Morning",IF(HOUR(C259)&lt;14,"Afternoon",IF(HOUR(C259)&lt;17,"Evening","Late Evening")))</f>
        <v>Evening</v>
      </c>
    </row>
    <row r="260" spans="1:12" x14ac:dyDescent="0.35">
      <c r="A260" s="3" t="s">
        <v>456</v>
      </c>
      <c r="B260" s="3" t="s">
        <v>457</v>
      </c>
      <c r="C260" s="6">
        <v>46092.333333333343</v>
      </c>
      <c r="D260" s="3" t="s">
        <v>23</v>
      </c>
      <c r="E260" s="3" t="s">
        <v>37</v>
      </c>
      <c r="F260" s="3" t="s">
        <v>14</v>
      </c>
      <c r="G260" s="3" t="s">
        <v>57</v>
      </c>
      <c r="H260" s="3">
        <v>0</v>
      </c>
      <c r="I260" s="3">
        <v>800</v>
      </c>
      <c r="J260" s="3" t="s">
        <v>26</v>
      </c>
      <c r="K260" s="3" t="str">
        <f t="shared" si="8"/>
        <v>Wednesday</v>
      </c>
      <c r="L260" s="3" t="str">
        <f t="shared" si="9"/>
        <v>Morning</v>
      </c>
    </row>
    <row r="261" spans="1:12" x14ac:dyDescent="0.35">
      <c r="A261" s="3" t="s">
        <v>458</v>
      </c>
      <c r="B261" s="3" t="s">
        <v>155</v>
      </c>
      <c r="C261" s="6">
        <v>46076.760416666657</v>
      </c>
      <c r="D261" s="3" t="s">
        <v>99</v>
      </c>
      <c r="E261" s="3" t="s">
        <v>24</v>
      </c>
      <c r="F261" s="3" t="s">
        <v>14</v>
      </c>
      <c r="G261" s="3" t="s">
        <v>57</v>
      </c>
      <c r="H261" s="3">
        <v>0</v>
      </c>
      <c r="I261" s="3">
        <v>700</v>
      </c>
      <c r="J261" s="3" t="s">
        <v>16</v>
      </c>
      <c r="K261" s="3" t="str">
        <f t="shared" si="8"/>
        <v>Monday</v>
      </c>
      <c r="L261" s="3" t="str">
        <f t="shared" si="9"/>
        <v>Late Evening</v>
      </c>
    </row>
    <row r="262" spans="1:12" x14ac:dyDescent="0.35">
      <c r="A262" s="3" t="s">
        <v>459</v>
      </c>
      <c r="B262" s="3" t="s">
        <v>460</v>
      </c>
      <c r="C262" s="6">
        <v>46168.645833333343</v>
      </c>
      <c r="D262" s="3" t="s">
        <v>53</v>
      </c>
      <c r="E262" s="3" t="s">
        <v>13</v>
      </c>
      <c r="F262" s="3" t="s">
        <v>14</v>
      </c>
      <c r="G262" s="3" t="s">
        <v>15</v>
      </c>
      <c r="H262" s="3">
        <v>20</v>
      </c>
      <c r="I262" s="3">
        <v>800</v>
      </c>
      <c r="J262" s="3" t="s">
        <v>16</v>
      </c>
      <c r="K262" s="3" t="str">
        <f t="shared" si="8"/>
        <v>Tuesday</v>
      </c>
      <c r="L262" s="3" t="str">
        <f t="shared" si="9"/>
        <v>Evening</v>
      </c>
    </row>
    <row r="263" spans="1:12" x14ac:dyDescent="0.35">
      <c r="A263" s="3" t="s">
        <v>461</v>
      </c>
      <c r="B263" s="3" t="s">
        <v>134</v>
      </c>
      <c r="C263" s="6">
        <v>46134.458333333343</v>
      </c>
      <c r="D263" s="3" t="s">
        <v>12</v>
      </c>
      <c r="E263" s="3" t="s">
        <v>13</v>
      </c>
      <c r="F263" s="3" t="s">
        <v>54</v>
      </c>
      <c r="G263" s="3" t="s">
        <v>15</v>
      </c>
      <c r="H263" s="3">
        <v>34</v>
      </c>
      <c r="I263" s="3">
        <v>900</v>
      </c>
      <c r="J263" s="3" t="s">
        <v>16</v>
      </c>
      <c r="K263" s="3" t="str">
        <f t="shared" si="8"/>
        <v>Wednesday</v>
      </c>
      <c r="L263" s="3" t="str">
        <f t="shared" si="9"/>
        <v>Afternoon</v>
      </c>
    </row>
    <row r="264" spans="1:12" x14ac:dyDescent="0.35">
      <c r="A264" s="3" t="s">
        <v>462</v>
      </c>
      <c r="B264" s="3" t="s">
        <v>463</v>
      </c>
      <c r="C264" s="6">
        <v>46138.677083333343</v>
      </c>
      <c r="D264" s="3" t="s">
        <v>31</v>
      </c>
      <c r="E264" s="3" t="s">
        <v>24</v>
      </c>
      <c r="F264" s="3" t="s">
        <v>54</v>
      </c>
      <c r="G264" s="3" t="s">
        <v>15</v>
      </c>
      <c r="H264" s="3">
        <v>39</v>
      </c>
      <c r="I264" s="3">
        <v>900</v>
      </c>
      <c r="J264" s="3" t="s">
        <v>16</v>
      </c>
      <c r="K264" s="3" t="str">
        <f t="shared" si="8"/>
        <v>Sunday</v>
      </c>
      <c r="L264" s="3" t="str">
        <f t="shared" si="9"/>
        <v>Evening</v>
      </c>
    </row>
    <row r="265" spans="1:12" x14ac:dyDescent="0.35">
      <c r="A265" s="3" t="s">
        <v>464</v>
      </c>
      <c r="B265" s="3" t="s">
        <v>63</v>
      </c>
      <c r="C265" s="6">
        <v>46044.770833333343</v>
      </c>
      <c r="D265" s="3" t="s">
        <v>23</v>
      </c>
      <c r="E265" s="3" t="s">
        <v>47</v>
      </c>
      <c r="F265" s="3" t="s">
        <v>25</v>
      </c>
      <c r="G265" s="3" t="s">
        <v>15</v>
      </c>
      <c r="H265" s="3">
        <v>33</v>
      </c>
      <c r="I265" s="3">
        <v>800</v>
      </c>
      <c r="J265" s="3" t="s">
        <v>26</v>
      </c>
      <c r="K265" s="3" t="str">
        <f t="shared" si="8"/>
        <v>Thursday</v>
      </c>
      <c r="L265" s="3" t="str">
        <f t="shared" si="9"/>
        <v>Late Evening</v>
      </c>
    </row>
    <row r="266" spans="1:12" x14ac:dyDescent="0.35">
      <c r="A266" s="3" t="s">
        <v>465</v>
      </c>
      <c r="B266" s="3" t="s">
        <v>69</v>
      </c>
      <c r="C266" s="6">
        <v>46122.604166666657</v>
      </c>
      <c r="D266" s="3" t="s">
        <v>79</v>
      </c>
      <c r="E266" s="3" t="s">
        <v>37</v>
      </c>
      <c r="F266" s="3" t="s">
        <v>25</v>
      </c>
      <c r="G266" s="3" t="s">
        <v>15</v>
      </c>
      <c r="H266" s="3">
        <v>34</v>
      </c>
      <c r="I266" s="3">
        <v>700</v>
      </c>
      <c r="J266" s="3" t="s">
        <v>16</v>
      </c>
      <c r="K266" s="3" t="str">
        <f t="shared" si="8"/>
        <v>Friday</v>
      </c>
      <c r="L266" s="3" t="str">
        <f t="shared" si="9"/>
        <v>Evening</v>
      </c>
    </row>
    <row r="267" spans="1:12" x14ac:dyDescent="0.35">
      <c r="A267" s="3" t="s">
        <v>466</v>
      </c>
      <c r="B267" s="3" t="s">
        <v>326</v>
      </c>
      <c r="C267" s="6">
        <v>46049.416666666657</v>
      </c>
      <c r="D267" s="3" t="s">
        <v>36</v>
      </c>
      <c r="E267" s="3" t="s">
        <v>13</v>
      </c>
      <c r="F267" s="3" t="s">
        <v>54</v>
      </c>
      <c r="G267" s="3" t="s">
        <v>15</v>
      </c>
      <c r="H267" s="3">
        <v>22</v>
      </c>
      <c r="I267" s="3">
        <v>700</v>
      </c>
      <c r="J267" s="3" t="s">
        <v>26</v>
      </c>
      <c r="K267" s="3" t="str">
        <f t="shared" si="8"/>
        <v>Tuesday</v>
      </c>
      <c r="L267" s="3" t="str">
        <f t="shared" si="9"/>
        <v>Morning</v>
      </c>
    </row>
    <row r="268" spans="1:12" x14ac:dyDescent="0.35">
      <c r="A268" s="3" t="s">
        <v>467</v>
      </c>
      <c r="B268" s="3" t="s">
        <v>468</v>
      </c>
      <c r="C268" s="6">
        <v>46113.708333333343</v>
      </c>
      <c r="D268" s="3" t="s">
        <v>12</v>
      </c>
      <c r="E268" s="3" t="s">
        <v>13</v>
      </c>
      <c r="F268" s="3" t="s">
        <v>25</v>
      </c>
      <c r="G268" s="3" t="s">
        <v>20</v>
      </c>
      <c r="H268" s="3">
        <v>0</v>
      </c>
      <c r="I268" s="3">
        <v>900</v>
      </c>
      <c r="J268" s="3" t="s">
        <v>16</v>
      </c>
      <c r="K268" s="3" t="str">
        <f t="shared" si="8"/>
        <v>Wednesday</v>
      </c>
      <c r="L268" s="3" t="str">
        <f t="shared" si="9"/>
        <v>Late Evening</v>
      </c>
    </row>
    <row r="269" spans="1:12" x14ac:dyDescent="0.35">
      <c r="A269" s="3" t="s">
        <v>469</v>
      </c>
      <c r="B269" s="3" t="s">
        <v>321</v>
      </c>
      <c r="C269" s="6">
        <v>46128.625</v>
      </c>
      <c r="D269" s="3" t="s">
        <v>31</v>
      </c>
      <c r="E269" s="3" t="s">
        <v>47</v>
      </c>
      <c r="F269" s="3" t="s">
        <v>19</v>
      </c>
      <c r="G269" s="3" t="s">
        <v>57</v>
      </c>
      <c r="H269" s="3">
        <v>0</v>
      </c>
      <c r="I269" s="3">
        <v>900</v>
      </c>
      <c r="J269" s="3" t="s">
        <v>26</v>
      </c>
      <c r="K269" s="3" t="str">
        <f t="shared" si="8"/>
        <v>Thursday</v>
      </c>
      <c r="L269" s="3" t="str">
        <f t="shared" si="9"/>
        <v>Evening</v>
      </c>
    </row>
    <row r="270" spans="1:12" x14ac:dyDescent="0.35">
      <c r="A270" s="3" t="s">
        <v>470</v>
      </c>
      <c r="B270" s="3" t="s">
        <v>129</v>
      </c>
      <c r="C270" s="6">
        <v>46058.520833333343</v>
      </c>
      <c r="D270" s="3" t="s">
        <v>79</v>
      </c>
      <c r="E270" s="3" t="s">
        <v>47</v>
      </c>
      <c r="F270" s="3" t="s">
        <v>14</v>
      </c>
      <c r="G270" s="3" t="s">
        <v>15</v>
      </c>
      <c r="H270" s="3">
        <v>42</v>
      </c>
      <c r="I270" s="3">
        <v>800</v>
      </c>
      <c r="J270" s="3" t="s">
        <v>26</v>
      </c>
      <c r="K270" s="3" t="str">
        <f t="shared" si="8"/>
        <v>Thursday</v>
      </c>
      <c r="L270" s="3" t="str">
        <f t="shared" si="9"/>
        <v>Afternoon</v>
      </c>
    </row>
    <row r="271" spans="1:12" x14ac:dyDescent="0.35">
      <c r="A271" s="3" t="s">
        <v>471</v>
      </c>
      <c r="B271" s="3" t="s">
        <v>472</v>
      </c>
      <c r="C271" s="6">
        <v>46130.53125</v>
      </c>
      <c r="D271" s="3" t="s">
        <v>46</v>
      </c>
      <c r="E271" s="3" t="s">
        <v>41</v>
      </c>
      <c r="F271" s="3" t="s">
        <v>19</v>
      </c>
      <c r="G271" s="3" t="s">
        <v>15</v>
      </c>
      <c r="H271" s="3">
        <v>21</v>
      </c>
      <c r="I271" s="3">
        <v>700</v>
      </c>
      <c r="J271" s="3" t="s">
        <v>16</v>
      </c>
      <c r="K271" s="3" t="str">
        <f t="shared" si="8"/>
        <v>Saturday</v>
      </c>
      <c r="L271" s="3" t="str">
        <f t="shared" si="9"/>
        <v>Afternoon</v>
      </c>
    </row>
    <row r="272" spans="1:12" x14ac:dyDescent="0.35">
      <c r="A272" s="3" t="s">
        <v>473</v>
      </c>
      <c r="B272" s="3" t="s">
        <v>282</v>
      </c>
      <c r="C272" s="6">
        <v>46140.385416666657</v>
      </c>
      <c r="D272" s="3" t="s">
        <v>40</v>
      </c>
      <c r="E272" s="3" t="s">
        <v>41</v>
      </c>
      <c r="F272" s="3" t="s">
        <v>54</v>
      </c>
      <c r="G272" s="3" t="s">
        <v>15</v>
      </c>
      <c r="H272" s="3">
        <v>60</v>
      </c>
      <c r="I272" s="3">
        <v>500</v>
      </c>
      <c r="J272" s="3" t="s">
        <v>16</v>
      </c>
      <c r="K272" s="3" t="str">
        <f t="shared" si="8"/>
        <v>Tuesday</v>
      </c>
      <c r="L272" s="3" t="str">
        <f t="shared" si="9"/>
        <v>Morning</v>
      </c>
    </row>
    <row r="273" spans="1:12" x14ac:dyDescent="0.35">
      <c r="A273" s="3" t="s">
        <v>474</v>
      </c>
      <c r="B273" s="3" t="s">
        <v>475</v>
      </c>
      <c r="C273" s="6">
        <v>46107.6875</v>
      </c>
      <c r="D273" s="3" t="s">
        <v>50</v>
      </c>
      <c r="E273" s="3" t="s">
        <v>41</v>
      </c>
      <c r="F273" s="3" t="s">
        <v>25</v>
      </c>
      <c r="G273" s="3" t="s">
        <v>15</v>
      </c>
      <c r="H273" s="3">
        <v>35</v>
      </c>
      <c r="I273" s="3">
        <v>400</v>
      </c>
      <c r="J273" s="3" t="s">
        <v>16</v>
      </c>
      <c r="K273" s="3" t="str">
        <f t="shared" si="8"/>
        <v>Thursday</v>
      </c>
      <c r="L273" s="3" t="str">
        <f t="shared" si="9"/>
        <v>Evening</v>
      </c>
    </row>
    <row r="274" spans="1:12" x14ac:dyDescent="0.35">
      <c r="A274" s="3" t="s">
        <v>476</v>
      </c>
      <c r="B274" s="3" t="s">
        <v>477</v>
      </c>
      <c r="C274" s="6">
        <v>46145.59375</v>
      </c>
      <c r="D274" s="3" t="s">
        <v>40</v>
      </c>
      <c r="E274" s="3" t="s">
        <v>37</v>
      </c>
      <c r="F274" s="3" t="s">
        <v>54</v>
      </c>
      <c r="G274" s="3" t="s">
        <v>15</v>
      </c>
      <c r="H274" s="3">
        <v>17</v>
      </c>
      <c r="I274" s="3">
        <v>500</v>
      </c>
      <c r="J274" s="3" t="s">
        <v>26</v>
      </c>
      <c r="K274" s="3" t="str">
        <f t="shared" si="8"/>
        <v>Sunday</v>
      </c>
      <c r="L274" s="3" t="str">
        <f t="shared" si="9"/>
        <v>Evening</v>
      </c>
    </row>
    <row r="275" spans="1:12" x14ac:dyDescent="0.35">
      <c r="A275" s="3" t="s">
        <v>478</v>
      </c>
      <c r="B275" s="3" t="s">
        <v>152</v>
      </c>
      <c r="C275" s="6">
        <v>46094.645833333343</v>
      </c>
      <c r="D275" s="3" t="s">
        <v>36</v>
      </c>
      <c r="E275" s="3" t="s">
        <v>47</v>
      </c>
      <c r="F275" s="3" t="s">
        <v>19</v>
      </c>
      <c r="G275" s="3" t="s">
        <v>15</v>
      </c>
      <c r="H275" s="3">
        <v>9</v>
      </c>
      <c r="I275" s="3">
        <v>500</v>
      </c>
      <c r="J275" s="3" t="s">
        <v>26</v>
      </c>
      <c r="K275" s="3" t="str">
        <f t="shared" si="8"/>
        <v>Friday</v>
      </c>
      <c r="L275" s="3" t="str">
        <f t="shared" si="9"/>
        <v>Evening</v>
      </c>
    </row>
    <row r="276" spans="1:12" x14ac:dyDescent="0.35">
      <c r="A276" s="3" t="s">
        <v>479</v>
      </c>
      <c r="B276" s="3" t="s">
        <v>384</v>
      </c>
      <c r="C276" s="6">
        <v>46135.5</v>
      </c>
      <c r="D276" s="3" t="s">
        <v>79</v>
      </c>
      <c r="E276" s="3" t="s">
        <v>37</v>
      </c>
      <c r="F276" s="3" t="s">
        <v>25</v>
      </c>
      <c r="G276" s="3" t="s">
        <v>15</v>
      </c>
      <c r="H276" s="3">
        <v>30</v>
      </c>
      <c r="I276" s="3">
        <v>800</v>
      </c>
      <c r="J276" s="3" t="s">
        <v>26</v>
      </c>
      <c r="K276" s="3" t="str">
        <f t="shared" si="8"/>
        <v>Thursday</v>
      </c>
      <c r="L276" s="3" t="str">
        <f t="shared" si="9"/>
        <v>Afternoon</v>
      </c>
    </row>
    <row r="277" spans="1:12" x14ac:dyDescent="0.35">
      <c r="A277" s="3" t="s">
        <v>480</v>
      </c>
      <c r="B277" s="3" t="s">
        <v>409</v>
      </c>
      <c r="C277" s="6">
        <v>46131.625</v>
      </c>
      <c r="D277" s="3" t="s">
        <v>99</v>
      </c>
      <c r="E277" s="3" t="s">
        <v>41</v>
      </c>
      <c r="F277" s="3" t="s">
        <v>54</v>
      </c>
      <c r="G277" s="3" t="s">
        <v>15</v>
      </c>
      <c r="H277" s="3">
        <v>19</v>
      </c>
      <c r="I277" s="3">
        <v>500</v>
      </c>
      <c r="J277" s="3" t="s">
        <v>16</v>
      </c>
      <c r="K277" s="3" t="str">
        <f t="shared" si="8"/>
        <v>Sunday</v>
      </c>
      <c r="L277" s="3" t="str">
        <f t="shared" si="9"/>
        <v>Evening</v>
      </c>
    </row>
    <row r="278" spans="1:12" x14ac:dyDescent="0.35">
      <c r="A278" s="3" t="s">
        <v>481</v>
      </c>
      <c r="B278" s="3" t="s">
        <v>274</v>
      </c>
      <c r="C278" s="6">
        <v>46115.708333333343</v>
      </c>
      <c r="D278" s="3" t="s">
        <v>40</v>
      </c>
      <c r="E278" s="3" t="s">
        <v>41</v>
      </c>
      <c r="F278" s="3" t="s">
        <v>25</v>
      </c>
      <c r="G278" s="3" t="s">
        <v>15</v>
      </c>
      <c r="H278" s="3">
        <v>36</v>
      </c>
      <c r="I278" s="3">
        <v>500</v>
      </c>
      <c r="J278" s="3" t="s">
        <v>26</v>
      </c>
      <c r="K278" s="3" t="str">
        <f t="shared" si="8"/>
        <v>Friday</v>
      </c>
      <c r="L278" s="3" t="str">
        <f t="shared" si="9"/>
        <v>Late Evening</v>
      </c>
    </row>
    <row r="279" spans="1:12" x14ac:dyDescent="0.35">
      <c r="A279" s="3" t="s">
        <v>482</v>
      </c>
      <c r="B279" s="3" t="s">
        <v>483</v>
      </c>
      <c r="C279" s="6">
        <v>46167.645833333343</v>
      </c>
      <c r="D279" s="3" t="s">
        <v>40</v>
      </c>
      <c r="E279" s="3" t="s">
        <v>24</v>
      </c>
      <c r="F279" s="3" t="s">
        <v>14</v>
      </c>
      <c r="G279" s="3" t="s">
        <v>15</v>
      </c>
      <c r="H279" s="3">
        <v>33</v>
      </c>
      <c r="I279" s="3">
        <v>500</v>
      </c>
      <c r="J279" s="3" t="s">
        <v>16</v>
      </c>
      <c r="K279" s="3" t="str">
        <f t="shared" si="8"/>
        <v>Monday</v>
      </c>
      <c r="L279" s="3" t="str">
        <f t="shared" si="9"/>
        <v>Evening</v>
      </c>
    </row>
    <row r="280" spans="1:12" x14ac:dyDescent="0.35">
      <c r="A280" s="3" t="s">
        <v>484</v>
      </c>
      <c r="B280" s="3" t="s">
        <v>485</v>
      </c>
      <c r="C280" s="6">
        <v>46137.614583333343</v>
      </c>
      <c r="D280" s="3" t="s">
        <v>53</v>
      </c>
      <c r="E280" s="3" t="s">
        <v>13</v>
      </c>
      <c r="F280" s="3" t="s">
        <v>19</v>
      </c>
      <c r="G280" s="3" t="s">
        <v>15</v>
      </c>
      <c r="H280" s="3">
        <v>29</v>
      </c>
      <c r="I280" s="3">
        <v>700</v>
      </c>
      <c r="J280" s="3" t="s">
        <v>16</v>
      </c>
      <c r="K280" s="3" t="str">
        <f t="shared" si="8"/>
        <v>Saturday</v>
      </c>
      <c r="L280" s="3" t="str">
        <f t="shared" si="9"/>
        <v>Evening</v>
      </c>
    </row>
    <row r="281" spans="1:12" x14ac:dyDescent="0.35">
      <c r="A281" s="3" t="s">
        <v>486</v>
      </c>
      <c r="B281" s="3" t="s">
        <v>290</v>
      </c>
      <c r="C281" s="6">
        <v>46049.53125</v>
      </c>
      <c r="D281" s="3" t="s">
        <v>31</v>
      </c>
      <c r="E281" s="3" t="s">
        <v>37</v>
      </c>
      <c r="F281" s="3" t="s">
        <v>19</v>
      </c>
      <c r="G281" s="3" t="s">
        <v>15</v>
      </c>
      <c r="H281" s="3">
        <v>24</v>
      </c>
      <c r="I281" s="3">
        <v>1000</v>
      </c>
      <c r="J281" s="3" t="s">
        <v>16</v>
      </c>
      <c r="K281" s="3" t="str">
        <f t="shared" si="8"/>
        <v>Tuesday</v>
      </c>
      <c r="L281" s="3" t="str">
        <f t="shared" si="9"/>
        <v>Afternoon</v>
      </c>
    </row>
    <row r="282" spans="1:12" x14ac:dyDescent="0.35">
      <c r="A282" s="3" t="s">
        <v>487</v>
      </c>
      <c r="B282" s="3" t="s">
        <v>488</v>
      </c>
      <c r="C282" s="6">
        <v>46139.489583333343</v>
      </c>
      <c r="D282" s="3" t="s">
        <v>36</v>
      </c>
      <c r="E282" s="3" t="s">
        <v>37</v>
      </c>
      <c r="F282" s="3" t="s">
        <v>54</v>
      </c>
      <c r="G282" s="3" t="s">
        <v>15</v>
      </c>
      <c r="H282" s="3">
        <v>5</v>
      </c>
      <c r="I282" s="3">
        <v>700</v>
      </c>
      <c r="J282" s="3" t="s">
        <v>16</v>
      </c>
      <c r="K282" s="3" t="str">
        <f t="shared" si="8"/>
        <v>Monday</v>
      </c>
      <c r="L282" s="3" t="str">
        <f t="shared" si="9"/>
        <v>Afternoon</v>
      </c>
    </row>
    <row r="283" spans="1:12" x14ac:dyDescent="0.35">
      <c r="A283" s="3" t="s">
        <v>489</v>
      </c>
      <c r="B283" s="3" t="s">
        <v>167</v>
      </c>
      <c r="C283" s="6">
        <v>46099.333333333343</v>
      </c>
      <c r="D283" s="3" t="s">
        <v>99</v>
      </c>
      <c r="E283" s="3" t="s">
        <v>24</v>
      </c>
      <c r="F283" s="3" t="s">
        <v>14</v>
      </c>
      <c r="G283" s="3" t="s">
        <v>15</v>
      </c>
      <c r="H283" s="3">
        <v>16</v>
      </c>
      <c r="I283" s="3">
        <v>600</v>
      </c>
      <c r="J283" s="3" t="s">
        <v>26</v>
      </c>
      <c r="K283" s="3" t="str">
        <f t="shared" si="8"/>
        <v>Wednesday</v>
      </c>
      <c r="L283" s="3" t="str">
        <f t="shared" si="9"/>
        <v>Morning</v>
      </c>
    </row>
    <row r="284" spans="1:12" x14ac:dyDescent="0.35">
      <c r="A284" s="3" t="s">
        <v>490</v>
      </c>
      <c r="B284" s="3" t="s">
        <v>491</v>
      </c>
      <c r="C284" s="6">
        <v>46164.4375</v>
      </c>
      <c r="D284" s="3" t="s">
        <v>53</v>
      </c>
      <c r="E284" s="3" t="s">
        <v>47</v>
      </c>
      <c r="F284" s="3" t="s">
        <v>54</v>
      </c>
      <c r="G284" s="3" t="s">
        <v>20</v>
      </c>
      <c r="H284" s="3">
        <v>0</v>
      </c>
      <c r="I284" s="3">
        <v>900</v>
      </c>
      <c r="J284" s="3" t="s">
        <v>26</v>
      </c>
      <c r="K284" s="3" t="str">
        <f t="shared" si="8"/>
        <v>Friday</v>
      </c>
      <c r="L284" s="3" t="str">
        <f t="shared" si="9"/>
        <v>Morning</v>
      </c>
    </row>
    <row r="285" spans="1:12" x14ac:dyDescent="0.35">
      <c r="A285" s="3" t="s">
        <v>492</v>
      </c>
      <c r="B285" s="3" t="s">
        <v>247</v>
      </c>
      <c r="C285" s="6">
        <v>46070.65625</v>
      </c>
      <c r="D285" s="3" t="s">
        <v>79</v>
      </c>
      <c r="E285" s="3" t="s">
        <v>41</v>
      </c>
      <c r="F285" s="3" t="s">
        <v>19</v>
      </c>
      <c r="G285" s="3" t="s">
        <v>15</v>
      </c>
      <c r="H285" s="3">
        <v>35</v>
      </c>
      <c r="I285" s="3">
        <v>600</v>
      </c>
      <c r="J285" s="3" t="s">
        <v>16</v>
      </c>
      <c r="K285" s="3" t="str">
        <f t="shared" si="8"/>
        <v>Tuesday</v>
      </c>
      <c r="L285" s="3" t="str">
        <f t="shared" si="9"/>
        <v>Evening</v>
      </c>
    </row>
    <row r="286" spans="1:12" x14ac:dyDescent="0.35">
      <c r="A286" s="3" t="s">
        <v>493</v>
      </c>
      <c r="B286" s="3" t="s">
        <v>494</v>
      </c>
      <c r="C286" s="6">
        <v>46122.34375</v>
      </c>
      <c r="D286" s="3" t="s">
        <v>50</v>
      </c>
      <c r="E286" s="3" t="s">
        <v>41</v>
      </c>
      <c r="F286" s="3" t="s">
        <v>14</v>
      </c>
      <c r="G286" s="3" t="s">
        <v>15</v>
      </c>
      <c r="H286" s="3">
        <v>30</v>
      </c>
      <c r="I286" s="3">
        <v>500</v>
      </c>
      <c r="J286" s="3" t="s">
        <v>26</v>
      </c>
      <c r="K286" s="3" t="str">
        <f t="shared" si="8"/>
        <v>Friday</v>
      </c>
      <c r="L286" s="3" t="str">
        <f t="shared" si="9"/>
        <v>Morning</v>
      </c>
    </row>
    <row r="287" spans="1:12" x14ac:dyDescent="0.35">
      <c r="A287" s="3" t="s">
        <v>495</v>
      </c>
      <c r="B287" s="3" t="s">
        <v>496</v>
      </c>
      <c r="C287" s="6">
        <v>46116.59375</v>
      </c>
      <c r="D287" s="3" t="s">
        <v>40</v>
      </c>
      <c r="E287" s="3" t="s">
        <v>41</v>
      </c>
      <c r="F287" s="3" t="s">
        <v>54</v>
      </c>
      <c r="G287" s="3" t="s">
        <v>15</v>
      </c>
      <c r="H287" s="3">
        <v>13</v>
      </c>
      <c r="I287" s="3">
        <v>500</v>
      </c>
      <c r="J287" s="3" t="s">
        <v>16</v>
      </c>
      <c r="K287" s="3" t="str">
        <f t="shared" si="8"/>
        <v>Saturday</v>
      </c>
      <c r="L287" s="3" t="str">
        <f t="shared" si="9"/>
        <v>Evening</v>
      </c>
    </row>
    <row r="288" spans="1:12" x14ac:dyDescent="0.35">
      <c r="A288" s="3" t="s">
        <v>497</v>
      </c>
      <c r="B288" s="3" t="s">
        <v>28</v>
      </c>
      <c r="C288" s="6">
        <v>46179.625</v>
      </c>
      <c r="D288" s="3" t="s">
        <v>50</v>
      </c>
      <c r="E288" s="3" t="s">
        <v>37</v>
      </c>
      <c r="F288" s="3" t="s">
        <v>54</v>
      </c>
      <c r="G288" s="3" t="s">
        <v>15</v>
      </c>
      <c r="H288" s="3">
        <v>30</v>
      </c>
      <c r="I288" s="3">
        <v>500</v>
      </c>
      <c r="J288" s="3" t="s">
        <v>26</v>
      </c>
      <c r="K288" s="3" t="str">
        <f t="shared" si="8"/>
        <v>Saturday</v>
      </c>
      <c r="L288" s="3" t="str">
        <f t="shared" si="9"/>
        <v>Evening</v>
      </c>
    </row>
    <row r="289" spans="1:12" x14ac:dyDescent="0.35">
      <c r="A289" s="3" t="s">
        <v>498</v>
      </c>
      <c r="B289" s="3" t="s">
        <v>169</v>
      </c>
      <c r="C289" s="6">
        <v>46195.4375</v>
      </c>
      <c r="D289" s="3" t="s">
        <v>99</v>
      </c>
      <c r="E289" s="3" t="s">
        <v>37</v>
      </c>
      <c r="F289" s="3" t="s">
        <v>14</v>
      </c>
      <c r="G289" s="3" t="s">
        <v>15</v>
      </c>
      <c r="H289" s="3">
        <v>26</v>
      </c>
      <c r="I289" s="3">
        <v>600</v>
      </c>
      <c r="J289" s="3" t="s">
        <v>26</v>
      </c>
      <c r="K289" s="3" t="str">
        <f t="shared" si="8"/>
        <v>Monday</v>
      </c>
      <c r="L289" s="3" t="str">
        <f t="shared" si="9"/>
        <v>Morning</v>
      </c>
    </row>
    <row r="290" spans="1:12" x14ac:dyDescent="0.35">
      <c r="A290" s="3" t="s">
        <v>499</v>
      </c>
      <c r="B290" s="3" t="s">
        <v>194</v>
      </c>
      <c r="C290" s="6">
        <v>46153.65625</v>
      </c>
      <c r="D290" s="3" t="s">
        <v>99</v>
      </c>
      <c r="E290" s="3" t="s">
        <v>24</v>
      </c>
      <c r="F290" s="3" t="s">
        <v>54</v>
      </c>
      <c r="G290" s="3" t="s">
        <v>20</v>
      </c>
      <c r="H290" s="3">
        <v>0</v>
      </c>
      <c r="I290" s="3">
        <v>600</v>
      </c>
      <c r="J290" s="3" t="s">
        <v>16</v>
      </c>
      <c r="K290" s="3" t="str">
        <f t="shared" si="8"/>
        <v>Monday</v>
      </c>
      <c r="L290" s="3" t="str">
        <f t="shared" si="9"/>
        <v>Evening</v>
      </c>
    </row>
    <row r="291" spans="1:12" x14ac:dyDescent="0.35">
      <c r="A291" s="3" t="s">
        <v>500</v>
      </c>
      <c r="B291" s="3" t="s">
        <v>61</v>
      </c>
      <c r="C291" s="6">
        <v>46185.71875</v>
      </c>
      <c r="D291" s="3" t="s">
        <v>23</v>
      </c>
      <c r="E291" s="3" t="s">
        <v>24</v>
      </c>
      <c r="F291" s="3" t="s">
        <v>25</v>
      </c>
      <c r="G291" s="3" t="s">
        <v>20</v>
      </c>
      <c r="H291" s="3">
        <v>0</v>
      </c>
      <c r="I291" s="3">
        <v>800</v>
      </c>
      <c r="J291" s="3" t="s">
        <v>26</v>
      </c>
      <c r="K291" s="3" t="str">
        <f t="shared" si="8"/>
        <v>Friday</v>
      </c>
      <c r="L291" s="3" t="str">
        <f t="shared" si="9"/>
        <v>Late Evening</v>
      </c>
    </row>
    <row r="292" spans="1:12" x14ac:dyDescent="0.35">
      <c r="A292" s="3" t="s">
        <v>501</v>
      </c>
      <c r="B292" s="3" t="s">
        <v>163</v>
      </c>
      <c r="C292" s="6">
        <v>46138.75</v>
      </c>
      <c r="D292" s="3" t="s">
        <v>23</v>
      </c>
      <c r="E292" s="3" t="s">
        <v>47</v>
      </c>
      <c r="F292" s="3" t="s">
        <v>19</v>
      </c>
      <c r="G292" s="3" t="s">
        <v>15</v>
      </c>
      <c r="H292" s="3">
        <v>19</v>
      </c>
      <c r="I292" s="3">
        <v>800</v>
      </c>
      <c r="J292" s="3" t="s">
        <v>26</v>
      </c>
      <c r="K292" s="3" t="str">
        <f t="shared" si="8"/>
        <v>Sunday</v>
      </c>
      <c r="L292" s="3" t="str">
        <f t="shared" si="9"/>
        <v>Late Evening</v>
      </c>
    </row>
    <row r="293" spans="1:12" x14ac:dyDescent="0.35">
      <c r="A293" s="3" t="s">
        <v>502</v>
      </c>
      <c r="B293" s="3" t="s">
        <v>61</v>
      </c>
      <c r="C293" s="6">
        <v>46127.697916666657</v>
      </c>
      <c r="D293" s="3" t="s">
        <v>46</v>
      </c>
      <c r="E293" s="3" t="s">
        <v>41</v>
      </c>
      <c r="F293" s="3" t="s">
        <v>19</v>
      </c>
      <c r="G293" s="3" t="s">
        <v>57</v>
      </c>
      <c r="H293" s="3">
        <v>0</v>
      </c>
      <c r="I293" s="3">
        <v>800</v>
      </c>
      <c r="J293" s="3" t="s">
        <v>26</v>
      </c>
      <c r="K293" s="3" t="str">
        <f t="shared" si="8"/>
        <v>Wednesday</v>
      </c>
      <c r="L293" s="3" t="str">
        <f t="shared" si="9"/>
        <v>Evening</v>
      </c>
    </row>
    <row r="294" spans="1:12" x14ac:dyDescent="0.35">
      <c r="A294" s="3" t="s">
        <v>503</v>
      </c>
      <c r="B294" s="3" t="s">
        <v>77</v>
      </c>
      <c r="C294" s="6">
        <v>46079.5</v>
      </c>
      <c r="D294" s="3" t="s">
        <v>40</v>
      </c>
      <c r="E294" s="3" t="s">
        <v>47</v>
      </c>
      <c r="F294" s="3" t="s">
        <v>25</v>
      </c>
      <c r="G294" s="3" t="s">
        <v>15</v>
      </c>
      <c r="H294" s="3">
        <v>29</v>
      </c>
      <c r="I294" s="3">
        <v>500</v>
      </c>
      <c r="J294" s="3" t="s">
        <v>26</v>
      </c>
      <c r="K294" s="3" t="str">
        <f t="shared" si="8"/>
        <v>Thursday</v>
      </c>
      <c r="L294" s="3" t="str">
        <f t="shared" si="9"/>
        <v>Afternoon</v>
      </c>
    </row>
    <row r="295" spans="1:12" x14ac:dyDescent="0.35">
      <c r="A295" s="3" t="s">
        <v>504</v>
      </c>
      <c r="B295" s="3" t="s">
        <v>505</v>
      </c>
      <c r="C295" s="6">
        <v>46163.708333333343</v>
      </c>
      <c r="D295" s="3" t="s">
        <v>46</v>
      </c>
      <c r="E295" s="3" t="s">
        <v>47</v>
      </c>
      <c r="F295" s="3" t="s">
        <v>25</v>
      </c>
      <c r="G295" s="3" t="s">
        <v>20</v>
      </c>
      <c r="H295" s="3">
        <v>0</v>
      </c>
      <c r="I295" s="3">
        <v>700</v>
      </c>
      <c r="J295" s="3" t="s">
        <v>26</v>
      </c>
      <c r="K295" s="3" t="str">
        <f t="shared" si="8"/>
        <v>Thursday</v>
      </c>
      <c r="L295" s="3" t="str">
        <f t="shared" si="9"/>
        <v>Late Evening</v>
      </c>
    </row>
    <row r="296" spans="1:12" x14ac:dyDescent="0.35">
      <c r="A296" s="3" t="s">
        <v>506</v>
      </c>
      <c r="B296" s="3" t="s">
        <v>67</v>
      </c>
      <c r="C296" s="6">
        <v>46131.385416666657</v>
      </c>
      <c r="D296" s="3" t="s">
        <v>79</v>
      </c>
      <c r="E296" s="3" t="s">
        <v>13</v>
      </c>
      <c r="F296" s="3" t="s">
        <v>25</v>
      </c>
      <c r="G296" s="3" t="s">
        <v>15</v>
      </c>
      <c r="H296" s="3">
        <v>25</v>
      </c>
      <c r="I296" s="3">
        <v>700</v>
      </c>
      <c r="J296" s="3" t="s">
        <v>16</v>
      </c>
      <c r="K296" s="3" t="str">
        <f t="shared" si="8"/>
        <v>Sunday</v>
      </c>
      <c r="L296" s="3" t="str">
        <f t="shared" si="9"/>
        <v>Morning</v>
      </c>
    </row>
    <row r="297" spans="1:12" x14ac:dyDescent="0.35">
      <c r="A297" s="3" t="s">
        <v>507</v>
      </c>
      <c r="B297" s="3" t="s">
        <v>485</v>
      </c>
      <c r="C297" s="6">
        <v>46053.46875</v>
      </c>
      <c r="D297" s="3" t="s">
        <v>31</v>
      </c>
      <c r="E297" s="3" t="s">
        <v>24</v>
      </c>
      <c r="F297" s="3" t="s">
        <v>25</v>
      </c>
      <c r="G297" s="3" t="s">
        <v>57</v>
      </c>
      <c r="H297" s="3">
        <v>0</v>
      </c>
      <c r="I297" s="3">
        <v>900</v>
      </c>
      <c r="J297" s="3" t="s">
        <v>16</v>
      </c>
      <c r="K297" s="3" t="str">
        <f t="shared" si="8"/>
        <v>Saturday</v>
      </c>
      <c r="L297" s="3" t="str">
        <f t="shared" si="9"/>
        <v>Afternoon</v>
      </c>
    </row>
    <row r="298" spans="1:12" x14ac:dyDescent="0.35">
      <c r="A298" s="3" t="s">
        <v>508</v>
      </c>
      <c r="B298" s="3" t="s">
        <v>386</v>
      </c>
      <c r="C298" s="6">
        <v>46075.458333333343</v>
      </c>
      <c r="D298" s="3" t="s">
        <v>53</v>
      </c>
      <c r="E298" s="3" t="s">
        <v>37</v>
      </c>
      <c r="F298" s="3" t="s">
        <v>25</v>
      </c>
      <c r="G298" s="3" t="s">
        <v>20</v>
      </c>
      <c r="H298" s="3">
        <v>0</v>
      </c>
      <c r="I298" s="3">
        <v>800</v>
      </c>
      <c r="J298" s="3" t="s">
        <v>26</v>
      </c>
      <c r="K298" s="3" t="str">
        <f t="shared" si="8"/>
        <v>Sunday</v>
      </c>
      <c r="L298" s="3" t="str">
        <f t="shared" si="9"/>
        <v>Afternoon</v>
      </c>
    </row>
    <row r="299" spans="1:12" x14ac:dyDescent="0.35">
      <c r="A299" s="3" t="s">
        <v>509</v>
      </c>
      <c r="B299" s="3" t="s">
        <v>475</v>
      </c>
      <c r="C299" s="6">
        <v>46097.770833333343</v>
      </c>
      <c r="D299" s="3" t="s">
        <v>36</v>
      </c>
      <c r="E299" s="3" t="s">
        <v>37</v>
      </c>
      <c r="F299" s="3" t="s">
        <v>54</v>
      </c>
      <c r="G299" s="3" t="s">
        <v>20</v>
      </c>
      <c r="H299" s="3">
        <v>0</v>
      </c>
      <c r="I299" s="3">
        <v>600</v>
      </c>
      <c r="J299" s="3" t="s">
        <v>26</v>
      </c>
      <c r="K299" s="3" t="str">
        <f t="shared" si="8"/>
        <v>Monday</v>
      </c>
      <c r="L299" s="3" t="str">
        <f t="shared" si="9"/>
        <v>Late Evening</v>
      </c>
    </row>
    <row r="300" spans="1:12" x14ac:dyDescent="0.35">
      <c r="A300" s="3" t="s">
        <v>510</v>
      </c>
      <c r="B300" s="3" t="s">
        <v>290</v>
      </c>
      <c r="C300" s="6">
        <v>46202.427083333343</v>
      </c>
      <c r="D300" s="3" t="s">
        <v>99</v>
      </c>
      <c r="E300" s="3" t="s">
        <v>47</v>
      </c>
      <c r="F300" s="3" t="s">
        <v>19</v>
      </c>
      <c r="G300" s="3" t="s">
        <v>15</v>
      </c>
      <c r="H300" s="3">
        <v>8</v>
      </c>
      <c r="I300" s="3">
        <v>600</v>
      </c>
      <c r="J300" s="3" t="s">
        <v>16</v>
      </c>
      <c r="K300" s="3" t="str">
        <f t="shared" si="8"/>
        <v>Monday</v>
      </c>
      <c r="L300" s="3" t="str">
        <f t="shared" si="9"/>
        <v>Morning</v>
      </c>
    </row>
    <row r="301" spans="1:12" x14ac:dyDescent="0.35">
      <c r="A301" s="3" t="s">
        <v>511</v>
      </c>
      <c r="B301" s="3" t="s">
        <v>512</v>
      </c>
      <c r="C301" s="6">
        <v>46170.53125</v>
      </c>
      <c r="D301" s="3" t="s">
        <v>79</v>
      </c>
      <c r="E301" s="3" t="s">
        <v>41</v>
      </c>
      <c r="F301" s="3" t="s">
        <v>14</v>
      </c>
      <c r="G301" s="3" t="s">
        <v>15</v>
      </c>
      <c r="H301" s="3">
        <v>29</v>
      </c>
      <c r="I301" s="3">
        <v>800</v>
      </c>
      <c r="J301" s="3" t="s">
        <v>16</v>
      </c>
      <c r="K301" s="3" t="str">
        <f t="shared" si="8"/>
        <v>Thursday</v>
      </c>
      <c r="L301" s="3" t="str">
        <f t="shared" si="9"/>
        <v>Afternoon</v>
      </c>
    </row>
    <row r="302" spans="1:12" x14ac:dyDescent="0.35">
      <c r="A302" s="3" t="s">
        <v>513</v>
      </c>
      <c r="B302" s="3" t="s">
        <v>420</v>
      </c>
      <c r="C302" s="6">
        <v>46200.614583333343</v>
      </c>
      <c r="D302" s="3" t="s">
        <v>50</v>
      </c>
      <c r="E302" s="3" t="s">
        <v>47</v>
      </c>
      <c r="F302" s="3" t="s">
        <v>14</v>
      </c>
      <c r="G302" s="3" t="s">
        <v>15</v>
      </c>
      <c r="H302" s="3">
        <v>34</v>
      </c>
      <c r="I302" s="3">
        <v>500</v>
      </c>
      <c r="J302" s="3" t="s">
        <v>26</v>
      </c>
      <c r="K302" s="3" t="str">
        <f t="shared" si="8"/>
        <v>Saturday</v>
      </c>
      <c r="L302" s="3" t="str">
        <f t="shared" si="9"/>
        <v>Evening</v>
      </c>
    </row>
    <row r="303" spans="1:12" x14ac:dyDescent="0.35">
      <c r="A303" s="3" t="s">
        <v>514</v>
      </c>
      <c r="B303" s="3" t="s">
        <v>515</v>
      </c>
      <c r="C303" s="6">
        <v>46039.739583333343</v>
      </c>
      <c r="D303" s="3" t="s">
        <v>46</v>
      </c>
      <c r="E303" s="3" t="s">
        <v>37</v>
      </c>
      <c r="F303" s="3" t="s">
        <v>19</v>
      </c>
      <c r="G303" s="3" t="s">
        <v>15</v>
      </c>
      <c r="H303" s="3">
        <v>37</v>
      </c>
      <c r="I303" s="3">
        <v>800</v>
      </c>
      <c r="J303" s="3" t="s">
        <v>16</v>
      </c>
      <c r="K303" s="3" t="str">
        <f t="shared" si="8"/>
        <v>Saturday</v>
      </c>
      <c r="L303" s="3" t="str">
        <f t="shared" si="9"/>
        <v>Late Evening</v>
      </c>
    </row>
    <row r="304" spans="1:12" x14ac:dyDescent="0.35">
      <c r="A304" s="3" t="s">
        <v>516</v>
      </c>
      <c r="B304" s="3" t="s">
        <v>253</v>
      </c>
      <c r="C304" s="6">
        <v>46095.59375</v>
      </c>
      <c r="D304" s="3" t="s">
        <v>36</v>
      </c>
      <c r="E304" s="3" t="s">
        <v>13</v>
      </c>
      <c r="F304" s="3" t="s">
        <v>25</v>
      </c>
      <c r="G304" s="3" t="s">
        <v>20</v>
      </c>
      <c r="H304" s="3">
        <v>0</v>
      </c>
      <c r="I304" s="3">
        <v>700</v>
      </c>
      <c r="J304" s="3" t="s">
        <v>26</v>
      </c>
      <c r="K304" s="3" t="str">
        <f t="shared" si="8"/>
        <v>Saturday</v>
      </c>
      <c r="L304" s="3" t="str">
        <f t="shared" si="9"/>
        <v>Evening</v>
      </c>
    </row>
    <row r="305" spans="1:12" x14ac:dyDescent="0.35">
      <c r="A305" s="3" t="s">
        <v>517</v>
      </c>
      <c r="B305" s="3" t="s">
        <v>177</v>
      </c>
      <c r="C305" s="6">
        <v>46183.666666666657</v>
      </c>
      <c r="D305" s="3" t="s">
        <v>12</v>
      </c>
      <c r="E305" s="3" t="s">
        <v>47</v>
      </c>
      <c r="F305" s="3" t="s">
        <v>54</v>
      </c>
      <c r="G305" s="3" t="s">
        <v>15</v>
      </c>
      <c r="H305" s="3">
        <v>47</v>
      </c>
      <c r="I305" s="3">
        <v>1000</v>
      </c>
      <c r="J305" s="3" t="s">
        <v>26</v>
      </c>
      <c r="K305" s="3" t="str">
        <f t="shared" si="8"/>
        <v>Wednesday</v>
      </c>
      <c r="L305" s="3" t="str">
        <f t="shared" si="9"/>
        <v>Evening</v>
      </c>
    </row>
    <row r="306" spans="1:12" x14ac:dyDescent="0.35">
      <c r="A306" s="3" t="s">
        <v>518</v>
      </c>
      <c r="B306" s="3" t="s">
        <v>49</v>
      </c>
      <c r="C306" s="6">
        <v>46199.4375</v>
      </c>
      <c r="D306" s="3" t="s">
        <v>79</v>
      </c>
      <c r="E306" s="3" t="s">
        <v>13</v>
      </c>
      <c r="F306" s="3" t="s">
        <v>25</v>
      </c>
      <c r="G306" s="3" t="s">
        <v>15</v>
      </c>
      <c r="H306" s="3">
        <v>8</v>
      </c>
      <c r="I306" s="3">
        <v>700</v>
      </c>
      <c r="J306" s="3" t="s">
        <v>16</v>
      </c>
      <c r="K306" s="3" t="str">
        <f t="shared" si="8"/>
        <v>Friday</v>
      </c>
      <c r="L306" s="3" t="str">
        <f t="shared" si="9"/>
        <v>Morning</v>
      </c>
    </row>
    <row r="307" spans="1:12" x14ac:dyDescent="0.35">
      <c r="A307" s="3" t="s">
        <v>519</v>
      </c>
      <c r="B307" s="3" t="s">
        <v>210</v>
      </c>
      <c r="C307" s="6">
        <v>46193.416666666657</v>
      </c>
      <c r="D307" s="3" t="s">
        <v>31</v>
      </c>
      <c r="E307" s="3" t="s">
        <v>13</v>
      </c>
      <c r="F307" s="3" t="s">
        <v>19</v>
      </c>
      <c r="G307" s="3" t="s">
        <v>15</v>
      </c>
      <c r="H307" s="3">
        <v>23</v>
      </c>
      <c r="I307" s="3">
        <v>1000</v>
      </c>
      <c r="J307" s="3" t="s">
        <v>16</v>
      </c>
      <c r="K307" s="3" t="str">
        <f t="shared" si="8"/>
        <v>Saturday</v>
      </c>
      <c r="L307" s="3" t="str">
        <f t="shared" si="9"/>
        <v>Morning</v>
      </c>
    </row>
    <row r="308" spans="1:12" x14ac:dyDescent="0.35">
      <c r="A308" s="3" t="s">
        <v>520</v>
      </c>
      <c r="B308" s="3" t="s">
        <v>521</v>
      </c>
      <c r="C308" s="6">
        <v>46023.489583333343</v>
      </c>
      <c r="D308" s="3" t="s">
        <v>12</v>
      </c>
      <c r="E308" s="3" t="s">
        <v>13</v>
      </c>
      <c r="F308" s="3" t="s">
        <v>19</v>
      </c>
      <c r="G308" s="3" t="s">
        <v>15</v>
      </c>
      <c r="H308" s="3">
        <v>41</v>
      </c>
      <c r="I308" s="3">
        <v>1000</v>
      </c>
      <c r="J308" s="3" t="s">
        <v>16</v>
      </c>
      <c r="K308" s="3" t="str">
        <f t="shared" si="8"/>
        <v>Thursday</v>
      </c>
      <c r="L308" s="3" t="str">
        <f t="shared" si="9"/>
        <v>Afternoon</v>
      </c>
    </row>
    <row r="309" spans="1:12" x14ac:dyDescent="0.35">
      <c r="A309" s="3" t="s">
        <v>522</v>
      </c>
      <c r="B309" s="3" t="s">
        <v>409</v>
      </c>
      <c r="C309" s="6">
        <v>46201.583333333343</v>
      </c>
      <c r="D309" s="3" t="s">
        <v>12</v>
      </c>
      <c r="E309" s="3" t="s">
        <v>47</v>
      </c>
      <c r="F309" s="3" t="s">
        <v>14</v>
      </c>
      <c r="G309" s="3" t="s">
        <v>15</v>
      </c>
      <c r="H309" s="3">
        <v>41</v>
      </c>
      <c r="I309" s="3">
        <v>1000</v>
      </c>
      <c r="J309" s="3" t="s">
        <v>26</v>
      </c>
      <c r="K309" s="3" t="str">
        <f t="shared" si="8"/>
        <v>Sunday</v>
      </c>
      <c r="L309" s="3" t="str">
        <f t="shared" si="9"/>
        <v>Evening</v>
      </c>
    </row>
    <row r="310" spans="1:12" x14ac:dyDescent="0.35">
      <c r="A310" s="3" t="s">
        <v>523</v>
      </c>
      <c r="B310" s="3" t="s">
        <v>384</v>
      </c>
      <c r="C310" s="6">
        <v>46049.395833333343</v>
      </c>
      <c r="D310" s="3" t="s">
        <v>79</v>
      </c>
      <c r="E310" s="3" t="s">
        <v>24</v>
      </c>
      <c r="F310" s="3" t="s">
        <v>54</v>
      </c>
      <c r="G310" s="3" t="s">
        <v>15</v>
      </c>
      <c r="H310" s="3">
        <v>31</v>
      </c>
      <c r="I310" s="3">
        <v>700</v>
      </c>
      <c r="J310" s="3" t="s">
        <v>26</v>
      </c>
      <c r="K310" s="3" t="str">
        <f t="shared" si="8"/>
        <v>Tuesday</v>
      </c>
      <c r="L310" s="3" t="str">
        <f t="shared" si="9"/>
        <v>Morning</v>
      </c>
    </row>
    <row r="311" spans="1:12" x14ac:dyDescent="0.35">
      <c r="A311" s="3" t="s">
        <v>524</v>
      </c>
      <c r="B311" s="3" t="s">
        <v>177</v>
      </c>
      <c r="C311" s="6">
        <v>46158.75</v>
      </c>
      <c r="D311" s="3" t="s">
        <v>53</v>
      </c>
      <c r="E311" s="3" t="s">
        <v>24</v>
      </c>
      <c r="F311" s="3" t="s">
        <v>25</v>
      </c>
      <c r="G311" s="3" t="s">
        <v>20</v>
      </c>
      <c r="H311" s="3">
        <v>0</v>
      </c>
      <c r="I311" s="3">
        <v>800</v>
      </c>
      <c r="J311" s="3" t="s">
        <v>26</v>
      </c>
      <c r="K311" s="3" t="str">
        <f t="shared" si="8"/>
        <v>Saturday</v>
      </c>
      <c r="L311" s="3" t="str">
        <f t="shared" si="9"/>
        <v>Late Evening</v>
      </c>
    </row>
    <row r="312" spans="1:12" x14ac:dyDescent="0.35">
      <c r="A312" s="3" t="s">
        <v>201</v>
      </c>
      <c r="B312" s="3" t="s">
        <v>384</v>
      </c>
      <c r="C312" s="6">
        <v>46180.677083333343</v>
      </c>
      <c r="D312" s="3" t="s">
        <v>23</v>
      </c>
      <c r="E312" s="3" t="s">
        <v>37</v>
      </c>
      <c r="F312" s="3" t="s">
        <v>14</v>
      </c>
      <c r="G312" s="3" t="s">
        <v>15</v>
      </c>
      <c r="H312" s="3" t="s">
        <v>756</v>
      </c>
      <c r="I312" s="3">
        <v>800</v>
      </c>
      <c r="J312" s="3" t="s">
        <v>16</v>
      </c>
      <c r="K312" s="3" t="str">
        <f t="shared" si="8"/>
        <v>Sunday</v>
      </c>
      <c r="L312" s="3" t="str">
        <f t="shared" si="9"/>
        <v>Evening</v>
      </c>
    </row>
    <row r="313" spans="1:12" x14ac:dyDescent="0.35">
      <c r="A313" s="3" t="s">
        <v>526</v>
      </c>
      <c r="B313" s="3" t="s">
        <v>45</v>
      </c>
      <c r="C313" s="6">
        <v>46103.427083333343</v>
      </c>
      <c r="D313" s="3" t="s">
        <v>36</v>
      </c>
      <c r="E313" s="3" t="s">
        <v>37</v>
      </c>
      <c r="F313" s="3" t="s">
        <v>25</v>
      </c>
      <c r="G313" s="3" t="s">
        <v>15</v>
      </c>
      <c r="H313" s="3">
        <v>28</v>
      </c>
      <c r="I313" s="3">
        <v>600</v>
      </c>
      <c r="J313" s="3" t="s">
        <v>26</v>
      </c>
      <c r="K313" s="3" t="str">
        <f t="shared" si="8"/>
        <v>Sunday</v>
      </c>
      <c r="L313" s="3" t="str">
        <f t="shared" si="9"/>
        <v>Morning</v>
      </c>
    </row>
    <row r="314" spans="1:12" x14ac:dyDescent="0.35">
      <c r="A314" s="3" t="s">
        <v>527</v>
      </c>
      <c r="B314" s="3" t="s">
        <v>30</v>
      </c>
      <c r="C314" s="6">
        <v>46155.760416666657</v>
      </c>
      <c r="D314" s="3" t="s">
        <v>99</v>
      </c>
      <c r="E314" s="3" t="s">
        <v>47</v>
      </c>
      <c r="F314" s="3" t="s">
        <v>14</v>
      </c>
      <c r="G314" s="3" t="s">
        <v>57</v>
      </c>
      <c r="H314" s="3">
        <v>0</v>
      </c>
      <c r="I314" s="3">
        <v>700</v>
      </c>
      <c r="J314" s="3" t="s">
        <v>26</v>
      </c>
      <c r="K314" s="3" t="str">
        <f t="shared" si="8"/>
        <v>Wednesday</v>
      </c>
      <c r="L314" s="3" t="str">
        <f t="shared" si="9"/>
        <v>Late Evening</v>
      </c>
    </row>
    <row r="315" spans="1:12" x14ac:dyDescent="0.35">
      <c r="A315" s="3" t="s">
        <v>528</v>
      </c>
      <c r="B315" s="3" t="s">
        <v>179</v>
      </c>
      <c r="C315" s="6">
        <v>46051.489583333343</v>
      </c>
      <c r="D315" s="3" t="s">
        <v>46</v>
      </c>
      <c r="E315" s="3" t="s">
        <v>37</v>
      </c>
      <c r="F315" s="3" t="s">
        <v>14</v>
      </c>
      <c r="G315" s="3" t="s">
        <v>57</v>
      </c>
      <c r="H315" s="3">
        <v>0</v>
      </c>
      <c r="I315" s="3">
        <v>600</v>
      </c>
      <c r="J315" s="3" t="s">
        <v>16</v>
      </c>
      <c r="K315" s="3" t="str">
        <f t="shared" si="8"/>
        <v>Thursday</v>
      </c>
      <c r="L315" s="3" t="str">
        <f t="shared" si="9"/>
        <v>Afternoon</v>
      </c>
    </row>
    <row r="316" spans="1:12" x14ac:dyDescent="0.35">
      <c r="A316" s="3" t="s">
        <v>529</v>
      </c>
      <c r="B316" s="3" t="s">
        <v>105</v>
      </c>
      <c r="C316" s="6">
        <v>46122.78125</v>
      </c>
      <c r="D316" s="3" t="s">
        <v>99</v>
      </c>
      <c r="E316" s="3" t="s">
        <v>13</v>
      </c>
      <c r="F316" s="3" t="s">
        <v>19</v>
      </c>
      <c r="G316" s="3" t="s">
        <v>15</v>
      </c>
      <c r="H316" s="3">
        <v>35</v>
      </c>
      <c r="I316" s="3">
        <v>500</v>
      </c>
      <c r="J316" s="3" t="s">
        <v>16</v>
      </c>
      <c r="K316" s="3" t="str">
        <f t="shared" si="8"/>
        <v>Friday</v>
      </c>
      <c r="L316" s="3" t="str">
        <f t="shared" si="9"/>
        <v>Late Evening</v>
      </c>
    </row>
    <row r="317" spans="1:12" x14ac:dyDescent="0.35">
      <c r="A317" s="3" t="s">
        <v>530</v>
      </c>
      <c r="B317" s="3" t="s">
        <v>531</v>
      </c>
      <c r="C317" s="6">
        <v>46173.375</v>
      </c>
      <c r="D317" s="3" t="s">
        <v>12</v>
      </c>
      <c r="E317" s="3" t="s">
        <v>41</v>
      </c>
      <c r="F317" s="3" t="s">
        <v>14</v>
      </c>
      <c r="G317" s="3" t="s">
        <v>15</v>
      </c>
      <c r="H317" s="3">
        <v>46</v>
      </c>
      <c r="I317" s="3">
        <v>1000</v>
      </c>
      <c r="J317" s="3" t="s">
        <v>16</v>
      </c>
      <c r="K317" s="3" t="str">
        <f t="shared" si="8"/>
        <v>Sunday</v>
      </c>
      <c r="L317" s="3" t="str">
        <f t="shared" si="9"/>
        <v>Morning</v>
      </c>
    </row>
    <row r="318" spans="1:12" x14ac:dyDescent="0.35">
      <c r="A318" s="3" t="s">
        <v>532</v>
      </c>
      <c r="B318" s="3" t="s">
        <v>63</v>
      </c>
      <c r="C318" s="6">
        <v>46183.739583333343</v>
      </c>
      <c r="D318" s="3" t="s">
        <v>50</v>
      </c>
      <c r="E318" s="3" t="s">
        <v>13</v>
      </c>
      <c r="F318" s="3" t="s">
        <v>19</v>
      </c>
      <c r="G318" s="3" t="s">
        <v>15</v>
      </c>
      <c r="H318" s="3">
        <v>35</v>
      </c>
      <c r="I318" s="3">
        <v>600</v>
      </c>
      <c r="J318" s="3" t="s">
        <v>16</v>
      </c>
      <c r="K318" s="3" t="str">
        <f t="shared" si="8"/>
        <v>Wednesday</v>
      </c>
      <c r="L318" s="3" t="str">
        <f t="shared" si="9"/>
        <v>Late Evening</v>
      </c>
    </row>
    <row r="319" spans="1:12" x14ac:dyDescent="0.35">
      <c r="A319" s="3" t="s">
        <v>533</v>
      </c>
      <c r="B319" s="3" t="s">
        <v>148</v>
      </c>
      <c r="C319" s="6">
        <v>46043.71875</v>
      </c>
      <c r="D319" s="3" t="s">
        <v>31</v>
      </c>
      <c r="E319" s="3" t="s">
        <v>37</v>
      </c>
      <c r="F319" s="3" t="s">
        <v>54</v>
      </c>
      <c r="G319" s="3" t="s">
        <v>15</v>
      </c>
      <c r="H319" s="3">
        <v>31</v>
      </c>
      <c r="I319" s="3">
        <v>900</v>
      </c>
      <c r="J319" s="3" t="s">
        <v>26</v>
      </c>
      <c r="K319" s="3" t="str">
        <f t="shared" si="8"/>
        <v>Wednesday</v>
      </c>
      <c r="L319" s="3" t="str">
        <f t="shared" si="9"/>
        <v>Late Evening</v>
      </c>
    </row>
    <row r="320" spans="1:12" x14ac:dyDescent="0.35">
      <c r="A320" s="3" t="s">
        <v>534</v>
      </c>
      <c r="B320" s="3" t="s">
        <v>200</v>
      </c>
      <c r="C320" s="6">
        <v>46084.34375</v>
      </c>
      <c r="D320" s="3" t="s">
        <v>36</v>
      </c>
      <c r="E320" s="3" t="s">
        <v>37</v>
      </c>
      <c r="F320" s="3" t="s">
        <v>54</v>
      </c>
      <c r="G320" s="3" t="s">
        <v>15</v>
      </c>
      <c r="H320" s="3">
        <v>31</v>
      </c>
      <c r="I320" s="3">
        <v>700</v>
      </c>
      <c r="J320" s="3" t="s">
        <v>26</v>
      </c>
      <c r="K320" s="3" t="str">
        <f t="shared" si="8"/>
        <v>Tuesday</v>
      </c>
      <c r="L320" s="3" t="str">
        <f t="shared" si="9"/>
        <v>Morning</v>
      </c>
    </row>
    <row r="321" spans="1:12" x14ac:dyDescent="0.35">
      <c r="A321" s="3" t="s">
        <v>535</v>
      </c>
      <c r="B321" s="3" t="s">
        <v>536</v>
      </c>
      <c r="C321" s="6">
        <v>46053.34375</v>
      </c>
      <c r="D321" s="3" t="s">
        <v>99</v>
      </c>
      <c r="E321" s="3" t="s">
        <v>41</v>
      </c>
      <c r="F321" s="3" t="s">
        <v>54</v>
      </c>
      <c r="G321" s="3" t="s">
        <v>57</v>
      </c>
      <c r="H321" s="3">
        <v>0</v>
      </c>
      <c r="I321" s="3">
        <v>600</v>
      </c>
      <c r="J321" s="3" t="s">
        <v>16</v>
      </c>
      <c r="K321" s="3" t="str">
        <f t="shared" si="8"/>
        <v>Saturday</v>
      </c>
      <c r="L321" s="3" t="str">
        <f t="shared" si="9"/>
        <v>Morning</v>
      </c>
    </row>
    <row r="322" spans="1:12" x14ac:dyDescent="0.35">
      <c r="A322" s="3" t="s">
        <v>537</v>
      </c>
      <c r="B322" s="3" t="s">
        <v>160</v>
      </c>
      <c r="C322" s="6">
        <v>46065.59375</v>
      </c>
      <c r="D322" s="3" t="s">
        <v>50</v>
      </c>
      <c r="E322" s="3" t="s">
        <v>37</v>
      </c>
      <c r="F322" s="3" t="s">
        <v>14</v>
      </c>
      <c r="G322" s="3" t="s">
        <v>57</v>
      </c>
      <c r="H322" s="3">
        <v>0</v>
      </c>
      <c r="I322" s="3">
        <v>500</v>
      </c>
      <c r="J322" s="3" t="s">
        <v>26</v>
      </c>
      <c r="K322" s="3" t="str">
        <f t="shared" si="8"/>
        <v>Thursday</v>
      </c>
      <c r="L322" s="3" t="str">
        <f t="shared" si="9"/>
        <v>Evening</v>
      </c>
    </row>
    <row r="323" spans="1:12" x14ac:dyDescent="0.35">
      <c r="A323" s="3" t="s">
        <v>538</v>
      </c>
      <c r="B323" s="3" t="s">
        <v>234</v>
      </c>
      <c r="C323" s="6">
        <v>46092.708333333343</v>
      </c>
      <c r="D323" s="3" t="s">
        <v>36</v>
      </c>
      <c r="E323" s="3" t="s">
        <v>47</v>
      </c>
      <c r="F323" s="3" t="s">
        <v>14</v>
      </c>
      <c r="G323" s="3" t="s">
        <v>15</v>
      </c>
      <c r="H323" s="3">
        <v>12</v>
      </c>
      <c r="I323" s="3">
        <v>500</v>
      </c>
      <c r="J323" s="3" t="s">
        <v>16</v>
      </c>
      <c r="K323" s="3" t="str">
        <f t="shared" ref="K323:K386" si="10">TEXT(C323,"dddd")</f>
        <v>Wednesday</v>
      </c>
      <c r="L323" s="3" t="str">
        <f t="shared" ref="L323:L386" si="11">IF(HOUR(C323)&lt;11,"Morning",IF(HOUR(C323)&lt;14,"Afternoon",IF(HOUR(C323)&lt;17,"Evening","Late Evening")))</f>
        <v>Late Evening</v>
      </c>
    </row>
    <row r="324" spans="1:12" x14ac:dyDescent="0.35">
      <c r="A324" s="3" t="s">
        <v>539</v>
      </c>
      <c r="B324" s="3" t="s">
        <v>434</v>
      </c>
      <c r="C324" s="6">
        <v>46037.677083333343</v>
      </c>
      <c r="D324" s="3" t="s">
        <v>46</v>
      </c>
      <c r="E324" s="3" t="s">
        <v>24</v>
      </c>
      <c r="F324" s="3" t="s">
        <v>14</v>
      </c>
      <c r="G324" s="3" t="s">
        <v>15</v>
      </c>
      <c r="H324" s="3">
        <v>22</v>
      </c>
      <c r="I324" s="3">
        <v>700</v>
      </c>
      <c r="J324" s="3" t="s">
        <v>26</v>
      </c>
      <c r="K324" s="3" t="str">
        <f t="shared" si="10"/>
        <v>Thursday</v>
      </c>
      <c r="L324" s="3" t="str">
        <f t="shared" si="11"/>
        <v>Evening</v>
      </c>
    </row>
    <row r="325" spans="1:12" x14ac:dyDescent="0.35">
      <c r="A325" s="3" t="s">
        <v>540</v>
      </c>
      <c r="B325" s="3" t="s">
        <v>541</v>
      </c>
      <c r="C325" s="6">
        <v>46034.34375</v>
      </c>
      <c r="D325" s="3" t="s">
        <v>53</v>
      </c>
      <c r="E325" s="3" t="s">
        <v>24</v>
      </c>
      <c r="F325" s="3" t="s">
        <v>54</v>
      </c>
      <c r="G325" s="3" t="s">
        <v>15</v>
      </c>
      <c r="H325" s="3">
        <v>24</v>
      </c>
      <c r="I325" s="3">
        <v>900</v>
      </c>
      <c r="J325" s="3" t="s">
        <v>26</v>
      </c>
      <c r="K325" s="3" t="str">
        <f t="shared" si="10"/>
        <v>Monday</v>
      </c>
      <c r="L325" s="3" t="str">
        <f t="shared" si="11"/>
        <v>Morning</v>
      </c>
    </row>
    <row r="326" spans="1:12" x14ac:dyDescent="0.35">
      <c r="A326" s="3" t="s">
        <v>542</v>
      </c>
      <c r="B326" s="3" t="s">
        <v>279</v>
      </c>
      <c r="C326" s="6">
        <v>46164.635416666657</v>
      </c>
      <c r="D326" s="3" t="s">
        <v>53</v>
      </c>
      <c r="E326" s="3" t="s">
        <v>13</v>
      </c>
      <c r="F326" s="3" t="s">
        <v>25</v>
      </c>
      <c r="G326" s="3" t="s">
        <v>15</v>
      </c>
      <c r="H326" s="3">
        <v>30</v>
      </c>
      <c r="I326" s="3">
        <v>800</v>
      </c>
      <c r="J326" s="3" t="s">
        <v>16</v>
      </c>
      <c r="K326" s="3" t="str">
        <f t="shared" si="10"/>
        <v>Friday</v>
      </c>
      <c r="L326" s="3" t="str">
        <f t="shared" si="11"/>
        <v>Evening</v>
      </c>
    </row>
    <row r="327" spans="1:12" x14ac:dyDescent="0.35">
      <c r="A327" s="3" t="s">
        <v>543</v>
      </c>
      <c r="B327" s="3" t="s">
        <v>544</v>
      </c>
      <c r="C327" s="6">
        <v>46053.708333333343</v>
      </c>
      <c r="D327" s="3" t="s">
        <v>31</v>
      </c>
      <c r="E327" s="3" t="s">
        <v>13</v>
      </c>
      <c r="F327" s="3" t="s">
        <v>14</v>
      </c>
      <c r="G327" s="3" t="s">
        <v>15</v>
      </c>
      <c r="H327" s="3">
        <v>62</v>
      </c>
      <c r="I327" s="3">
        <v>1000</v>
      </c>
      <c r="J327" s="3" t="s">
        <v>16</v>
      </c>
      <c r="K327" s="3" t="str">
        <f t="shared" si="10"/>
        <v>Saturday</v>
      </c>
      <c r="L327" s="3" t="str">
        <f t="shared" si="11"/>
        <v>Late Evening</v>
      </c>
    </row>
    <row r="328" spans="1:12" x14ac:dyDescent="0.35">
      <c r="A328" s="3" t="s">
        <v>545</v>
      </c>
      <c r="B328" s="3" t="s">
        <v>276</v>
      </c>
      <c r="C328" s="6">
        <v>46095.520833333343</v>
      </c>
      <c r="D328" s="3" t="s">
        <v>31</v>
      </c>
      <c r="E328" s="3" t="s">
        <v>24</v>
      </c>
      <c r="F328" s="3" t="s">
        <v>14</v>
      </c>
      <c r="G328" s="3" t="s">
        <v>15</v>
      </c>
      <c r="H328" s="3">
        <v>12</v>
      </c>
      <c r="I328" s="3">
        <v>900</v>
      </c>
      <c r="J328" s="3" t="s">
        <v>16</v>
      </c>
      <c r="K328" s="3" t="str">
        <f t="shared" si="10"/>
        <v>Saturday</v>
      </c>
      <c r="L328" s="3" t="str">
        <f t="shared" si="11"/>
        <v>Afternoon</v>
      </c>
    </row>
    <row r="329" spans="1:12" x14ac:dyDescent="0.35">
      <c r="A329" s="3" t="s">
        <v>546</v>
      </c>
      <c r="B329" s="3" t="s">
        <v>521</v>
      </c>
      <c r="C329" s="6">
        <v>46167.510416666657</v>
      </c>
      <c r="D329" s="3" t="s">
        <v>23</v>
      </c>
      <c r="E329" s="3" t="s">
        <v>41</v>
      </c>
      <c r="F329" s="3" t="s">
        <v>54</v>
      </c>
      <c r="G329" s="3" t="s">
        <v>15</v>
      </c>
      <c r="H329" s="3">
        <v>38</v>
      </c>
      <c r="I329" s="3">
        <v>800</v>
      </c>
      <c r="J329" s="3" t="s">
        <v>26</v>
      </c>
      <c r="K329" s="3" t="str">
        <f t="shared" si="10"/>
        <v>Monday</v>
      </c>
      <c r="L329" s="3" t="str">
        <f t="shared" si="11"/>
        <v>Afternoon</v>
      </c>
    </row>
    <row r="330" spans="1:12" x14ac:dyDescent="0.35">
      <c r="A330" s="3" t="s">
        <v>547</v>
      </c>
      <c r="B330" s="3" t="s">
        <v>548</v>
      </c>
      <c r="C330" s="6">
        <v>46061.364583333343</v>
      </c>
      <c r="D330" s="3" t="s">
        <v>40</v>
      </c>
      <c r="E330" s="3" t="s">
        <v>37</v>
      </c>
      <c r="F330" s="3" t="s">
        <v>25</v>
      </c>
      <c r="G330" s="3" t="s">
        <v>15</v>
      </c>
      <c r="H330" s="3">
        <v>8</v>
      </c>
      <c r="I330" s="3">
        <v>500</v>
      </c>
      <c r="J330" s="3" t="s">
        <v>26</v>
      </c>
      <c r="K330" s="3" t="str">
        <f t="shared" si="10"/>
        <v>Sunday</v>
      </c>
      <c r="L330" s="3" t="str">
        <f t="shared" si="11"/>
        <v>Morning</v>
      </c>
    </row>
    <row r="331" spans="1:12" x14ac:dyDescent="0.35">
      <c r="A331" s="3" t="s">
        <v>549</v>
      </c>
      <c r="B331" s="3" t="s">
        <v>550</v>
      </c>
      <c r="C331" s="6">
        <v>46191.645833333343</v>
      </c>
      <c r="D331" s="3" t="s">
        <v>99</v>
      </c>
      <c r="E331" s="3" t="s">
        <v>47</v>
      </c>
      <c r="F331" s="3" t="s">
        <v>19</v>
      </c>
      <c r="G331" s="3" t="s">
        <v>15</v>
      </c>
      <c r="H331" s="3">
        <v>16</v>
      </c>
      <c r="I331" s="3">
        <v>600</v>
      </c>
      <c r="J331" s="3" t="s">
        <v>16</v>
      </c>
      <c r="K331" s="3" t="str">
        <f t="shared" si="10"/>
        <v>Thursday</v>
      </c>
      <c r="L331" s="3" t="str">
        <f t="shared" si="11"/>
        <v>Evening</v>
      </c>
    </row>
    <row r="332" spans="1:12" x14ac:dyDescent="0.35">
      <c r="A332" s="3" t="s">
        <v>551</v>
      </c>
      <c r="B332" s="3" t="s">
        <v>455</v>
      </c>
      <c r="C332" s="6">
        <v>46059.5</v>
      </c>
      <c r="D332" s="3" t="s">
        <v>79</v>
      </c>
      <c r="E332" s="3" t="s">
        <v>47</v>
      </c>
      <c r="F332" s="3" t="s">
        <v>54</v>
      </c>
      <c r="G332" s="3" t="s">
        <v>15</v>
      </c>
      <c r="H332" s="3">
        <v>38</v>
      </c>
      <c r="I332" s="3">
        <v>700</v>
      </c>
      <c r="J332" s="3" t="s">
        <v>16</v>
      </c>
      <c r="K332" s="3" t="str">
        <f t="shared" si="10"/>
        <v>Friday</v>
      </c>
      <c r="L332" s="3" t="str">
        <f t="shared" si="11"/>
        <v>Afternoon</v>
      </c>
    </row>
    <row r="333" spans="1:12" x14ac:dyDescent="0.35">
      <c r="A333" s="3" t="s">
        <v>552</v>
      </c>
      <c r="B333" s="3" t="s">
        <v>512</v>
      </c>
      <c r="C333" s="6">
        <v>46171.385416666657</v>
      </c>
      <c r="D333" s="3" t="s">
        <v>79</v>
      </c>
      <c r="E333" s="3" t="s">
        <v>24</v>
      </c>
      <c r="F333" s="3" t="s">
        <v>14</v>
      </c>
      <c r="G333" s="3" t="s">
        <v>57</v>
      </c>
      <c r="H333" s="3">
        <v>0</v>
      </c>
      <c r="I333" s="3" t="s">
        <v>756</v>
      </c>
      <c r="J333" s="3" t="s">
        <v>16</v>
      </c>
      <c r="K333" s="3" t="str">
        <f t="shared" si="10"/>
        <v>Friday</v>
      </c>
      <c r="L333" s="3" t="str">
        <f t="shared" si="11"/>
        <v>Morning</v>
      </c>
    </row>
    <row r="334" spans="1:12" x14ac:dyDescent="0.35">
      <c r="A334" s="3" t="s">
        <v>553</v>
      </c>
      <c r="B334" s="3" t="s">
        <v>136</v>
      </c>
      <c r="C334" s="6">
        <v>46097.520833333343</v>
      </c>
      <c r="D334" s="3" t="s">
        <v>53</v>
      </c>
      <c r="E334" s="3" t="s">
        <v>24</v>
      </c>
      <c r="F334" s="3" t="s">
        <v>54</v>
      </c>
      <c r="G334" s="3" t="s">
        <v>15</v>
      </c>
      <c r="H334" s="3">
        <v>30</v>
      </c>
      <c r="I334" s="3">
        <v>800</v>
      </c>
      <c r="J334" s="3" t="s">
        <v>16</v>
      </c>
      <c r="K334" s="3" t="str">
        <f t="shared" si="10"/>
        <v>Monday</v>
      </c>
      <c r="L334" s="3" t="str">
        <f t="shared" si="11"/>
        <v>Afternoon</v>
      </c>
    </row>
    <row r="335" spans="1:12" x14ac:dyDescent="0.35">
      <c r="A335" s="3" t="s">
        <v>554</v>
      </c>
      <c r="B335" s="3" t="s">
        <v>555</v>
      </c>
      <c r="C335" s="6">
        <v>46074.416666666657</v>
      </c>
      <c r="D335" s="3" t="s">
        <v>53</v>
      </c>
      <c r="E335" s="3" t="s">
        <v>37</v>
      </c>
      <c r="F335" s="3" t="s">
        <v>54</v>
      </c>
      <c r="G335" s="3" t="s">
        <v>15</v>
      </c>
      <c r="H335" s="3">
        <v>17</v>
      </c>
      <c r="I335" s="3">
        <v>800</v>
      </c>
      <c r="J335" s="3" t="s">
        <v>16</v>
      </c>
      <c r="K335" s="3" t="str">
        <f t="shared" si="10"/>
        <v>Saturday</v>
      </c>
      <c r="L335" s="3" t="str">
        <f t="shared" si="11"/>
        <v>Morning</v>
      </c>
    </row>
    <row r="336" spans="1:12" x14ac:dyDescent="0.35">
      <c r="A336" s="3" t="s">
        <v>556</v>
      </c>
      <c r="B336" s="3" t="s">
        <v>169</v>
      </c>
      <c r="C336" s="6">
        <v>46053.729166666657</v>
      </c>
      <c r="D336" s="3" t="s">
        <v>36</v>
      </c>
      <c r="E336" s="3" t="s">
        <v>13</v>
      </c>
      <c r="F336" s="3" t="s">
        <v>54</v>
      </c>
      <c r="G336" s="3" t="s">
        <v>15</v>
      </c>
      <c r="H336" s="3">
        <v>13</v>
      </c>
      <c r="I336" s="3">
        <v>700</v>
      </c>
      <c r="J336" s="3" t="s">
        <v>16</v>
      </c>
      <c r="K336" s="3" t="str">
        <f t="shared" si="10"/>
        <v>Saturday</v>
      </c>
      <c r="L336" s="3" t="str">
        <f t="shared" si="11"/>
        <v>Late Evening</v>
      </c>
    </row>
    <row r="337" spans="1:12" x14ac:dyDescent="0.35">
      <c r="A337" s="3" t="s">
        <v>557</v>
      </c>
      <c r="B337" s="3" t="s">
        <v>129</v>
      </c>
      <c r="C337" s="6">
        <v>46063.5</v>
      </c>
      <c r="D337" s="3" t="s">
        <v>12</v>
      </c>
      <c r="E337" s="3" t="s">
        <v>37</v>
      </c>
      <c r="F337" s="3" t="s">
        <v>14</v>
      </c>
      <c r="G337" s="3" t="s">
        <v>15</v>
      </c>
      <c r="H337" s="3">
        <v>43</v>
      </c>
      <c r="I337" s="3">
        <v>1000</v>
      </c>
      <c r="J337" s="3" t="s">
        <v>26</v>
      </c>
      <c r="K337" s="3" t="str">
        <f t="shared" si="10"/>
        <v>Tuesday</v>
      </c>
      <c r="L337" s="3" t="str">
        <f t="shared" si="11"/>
        <v>Afternoon</v>
      </c>
    </row>
    <row r="338" spans="1:12" x14ac:dyDescent="0.35">
      <c r="A338" s="3" t="s">
        <v>558</v>
      </c>
      <c r="B338" s="3" t="s">
        <v>272</v>
      </c>
      <c r="C338" s="6">
        <v>46154.354166666657</v>
      </c>
      <c r="D338" s="3" t="s">
        <v>36</v>
      </c>
      <c r="E338" s="3" t="s">
        <v>41</v>
      </c>
      <c r="F338" s="3" t="s">
        <v>54</v>
      </c>
      <c r="G338" s="3" t="s">
        <v>15</v>
      </c>
      <c r="H338" s="3">
        <v>13</v>
      </c>
      <c r="I338" s="3">
        <v>600</v>
      </c>
      <c r="J338" s="3" t="s">
        <v>16</v>
      </c>
      <c r="K338" s="3" t="str">
        <f t="shared" si="10"/>
        <v>Tuesday</v>
      </c>
      <c r="L338" s="3" t="str">
        <f t="shared" si="11"/>
        <v>Morning</v>
      </c>
    </row>
    <row r="339" spans="1:12" x14ac:dyDescent="0.35">
      <c r="A339" s="3" t="s">
        <v>559</v>
      </c>
      <c r="B339" s="3" t="s">
        <v>158</v>
      </c>
      <c r="C339" s="6">
        <v>46047.666666666657</v>
      </c>
      <c r="D339" s="3" t="s">
        <v>40</v>
      </c>
      <c r="E339" s="3" t="s">
        <v>24</v>
      </c>
      <c r="F339" s="3" t="s">
        <v>14</v>
      </c>
      <c r="G339" s="3" t="s">
        <v>15</v>
      </c>
      <c r="H339" s="3">
        <v>30</v>
      </c>
      <c r="I339" s="3">
        <v>500</v>
      </c>
      <c r="J339" s="3" t="s">
        <v>26</v>
      </c>
      <c r="K339" s="3" t="str">
        <f t="shared" si="10"/>
        <v>Sunday</v>
      </c>
      <c r="L339" s="3" t="str">
        <f t="shared" si="11"/>
        <v>Evening</v>
      </c>
    </row>
    <row r="340" spans="1:12" x14ac:dyDescent="0.35">
      <c r="A340" s="3" t="s">
        <v>560</v>
      </c>
      <c r="B340" s="3" t="s">
        <v>561</v>
      </c>
      <c r="C340" s="6">
        <v>46125.583333333343</v>
      </c>
      <c r="D340" s="3" t="s">
        <v>53</v>
      </c>
      <c r="E340" s="3" t="s">
        <v>13</v>
      </c>
      <c r="F340" s="3" t="s">
        <v>14</v>
      </c>
      <c r="G340" s="3" t="s">
        <v>20</v>
      </c>
      <c r="H340" s="3">
        <v>0</v>
      </c>
      <c r="I340" s="3">
        <v>700</v>
      </c>
      <c r="J340" s="3" t="s">
        <v>26</v>
      </c>
      <c r="K340" s="3" t="str">
        <f t="shared" si="10"/>
        <v>Monday</v>
      </c>
      <c r="L340" s="3" t="str">
        <f t="shared" si="11"/>
        <v>Evening</v>
      </c>
    </row>
    <row r="341" spans="1:12" x14ac:dyDescent="0.35">
      <c r="A341" s="3" t="s">
        <v>562</v>
      </c>
      <c r="B341" s="3" t="s">
        <v>240</v>
      </c>
      <c r="C341" s="6">
        <v>46188.677083333343</v>
      </c>
      <c r="D341" s="3" t="s">
        <v>12</v>
      </c>
      <c r="E341" s="3" t="s">
        <v>13</v>
      </c>
      <c r="F341" s="3" t="s">
        <v>14</v>
      </c>
      <c r="G341" s="3" t="s">
        <v>15</v>
      </c>
      <c r="H341" s="3">
        <v>35</v>
      </c>
      <c r="I341" s="3">
        <v>1000</v>
      </c>
      <c r="J341" s="3" t="s">
        <v>16</v>
      </c>
      <c r="K341" s="3" t="str">
        <f t="shared" si="10"/>
        <v>Monday</v>
      </c>
      <c r="L341" s="3" t="str">
        <f t="shared" si="11"/>
        <v>Evening</v>
      </c>
    </row>
    <row r="342" spans="1:12" x14ac:dyDescent="0.35">
      <c r="A342" s="3" t="s">
        <v>563</v>
      </c>
      <c r="B342" s="3" t="s">
        <v>109</v>
      </c>
      <c r="C342" s="6">
        <v>46169.65625</v>
      </c>
      <c r="D342" s="3" t="s">
        <v>12</v>
      </c>
      <c r="E342" s="3" t="s">
        <v>37</v>
      </c>
      <c r="F342" s="3" t="s">
        <v>54</v>
      </c>
      <c r="G342" s="3" t="s">
        <v>15</v>
      </c>
      <c r="H342" s="3">
        <v>27</v>
      </c>
      <c r="I342" s="3">
        <v>1000</v>
      </c>
      <c r="J342" s="3" t="s">
        <v>26</v>
      </c>
      <c r="K342" s="3" t="str">
        <f t="shared" si="10"/>
        <v>Wednesday</v>
      </c>
      <c r="L342" s="3" t="str">
        <f t="shared" si="11"/>
        <v>Evening</v>
      </c>
    </row>
    <row r="343" spans="1:12" x14ac:dyDescent="0.35">
      <c r="A343" s="3" t="s">
        <v>564</v>
      </c>
      <c r="B343" s="3" t="s">
        <v>350</v>
      </c>
      <c r="C343" s="6">
        <v>46070.520833333343</v>
      </c>
      <c r="D343" s="3" t="s">
        <v>99</v>
      </c>
      <c r="E343" s="3" t="s">
        <v>47</v>
      </c>
      <c r="F343" s="3" t="s">
        <v>19</v>
      </c>
      <c r="G343" s="3" t="s">
        <v>15</v>
      </c>
      <c r="H343" s="3">
        <v>47</v>
      </c>
      <c r="I343" s="3">
        <v>600</v>
      </c>
      <c r="J343" s="3" t="s">
        <v>16</v>
      </c>
      <c r="K343" s="3" t="str">
        <f t="shared" si="10"/>
        <v>Tuesday</v>
      </c>
      <c r="L343" s="3" t="str">
        <f t="shared" si="11"/>
        <v>Afternoon</v>
      </c>
    </row>
    <row r="344" spans="1:12" x14ac:dyDescent="0.35">
      <c r="A344" s="3" t="s">
        <v>565</v>
      </c>
      <c r="B344" s="3" t="s">
        <v>566</v>
      </c>
      <c r="C344" s="6">
        <v>46163.666666666657</v>
      </c>
      <c r="D344" s="3" t="s">
        <v>46</v>
      </c>
      <c r="E344" s="3" t="s">
        <v>24</v>
      </c>
      <c r="F344" s="3" t="s">
        <v>19</v>
      </c>
      <c r="G344" s="3" t="s">
        <v>15</v>
      </c>
      <c r="H344" s="3">
        <v>32</v>
      </c>
      <c r="I344" s="3">
        <v>700</v>
      </c>
      <c r="J344" s="3" t="s">
        <v>16</v>
      </c>
      <c r="K344" s="3" t="str">
        <f t="shared" si="10"/>
        <v>Thursday</v>
      </c>
      <c r="L344" s="3" t="str">
        <f t="shared" si="11"/>
        <v>Evening</v>
      </c>
    </row>
    <row r="345" spans="1:12" x14ac:dyDescent="0.35">
      <c r="A345" s="3" t="s">
        <v>567</v>
      </c>
      <c r="B345" s="3" t="s">
        <v>409</v>
      </c>
      <c r="C345" s="6">
        <v>46184.708333333343</v>
      </c>
      <c r="D345" s="3" t="s">
        <v>53</v>
      </c>
      <c r="E345" s="3" t="s">
        <v>41</v>
      </c>
      <c r="F345" s="3" t="s">
        <v>54</v>
      </c>
      <c r="G345" s="3" t="s">
        <v>15</v>
      </c>
      <c r="H345" s="3">
        <v>5</v>
      </c>
      <c r="I345" s="3">
        <v>800</v>
      </c>
      <c r="J345" s="3" t="s">
        <v>16</v>
      </c>
      <c r="K345" s="3" t="str">
        <f t="shared" si="10"/>
        <v>Thursday</v>
      </c>
      <c r="L345" s="3" t="str">
        <f t="shared" si="11"/>
        <v>Late Evening</v>
      </c>
    </row>
    <row r="346" spans="1:12" x14ac:dyDescent="0.35">
      <c r="A346" s="3" t="s">
        <v>568</v>
      </c>
      <c r="B346" s="3" t="s">
        <v>52</v>
      </c>
      <c r="C346" s="6">
        <v>46122.510416666657</v>
      </c>
      <c r="D346" s="3" t="s">
        <v>50</v>
      </c>
      <c r="E346" s="3" t="s">
        <v>37</v>
      </c>
      <c r="F346" s="3" t="s">
        <v>19</v>
      </c>
      <c r="G346" s="3" t="s">
        <v>15</v>
      </c>
      <c r="H346" s="3">
        <v>30</v>
      </c>
      <c r="I346" s="3">
        <v>500</v>
      </c>
      <c r="J346" s="3" t="s">
        <v>26</v>
      </c>
      <c r="K346" s="3" t="str">
        <f t="shared" si="10"/>
        <v>Friday</v>
      </c>
      <c r="L346" s="3" t="str">
        <f t="shared" si="11"/>
        <v>Afternoon</v>
      </c>
    </row>
    <row r="347" spans="1:12" x14ac:dyDescent="0.35">
      <c r="A347" s="3" t="s">
        <v>569</v>
      </c>
      <c r="B347" s="3" t="s">
        <v>175</v>
      </c>
      <c r="C347" s="6">
        <v>46143.729166666657</v>
      </c>
      <c r="D347" s="3" t="s">
        <v>99</v>
      </c>
      <c r="E347" s="3" t="s">
        <v>24</v>
      </c>
      <c r="F347" s="3" t="s">
        <v>19</v>
      </c>
      <c r="G347" s="3" t="s">
        <v>20</v>
      </c>
      <c r="H347" s="3">
        <v>0</v>
      </c>
      <c r="I347" s="3">
        <v>600</v>
      </c>
      <c r="J347" s="3" t="s">
        <v>26</v>
      </c>
      <c r="K347" s="3" t="str">
        <f t="shared" si="10"/>
        <v>Friday</v>
      </c>
      <c r="L347" s="3" t="str">
        <f t="shared" si="11"/>
        <v>Late Evening</v>
      </c>
    </row>
    <row r="348" spans="1:12" x14ac:dyDescent="0.35">
      <c r="A348" s="3" t="s">
        <v>570</v>
      </c>
      <c r="B348" s="3" t="s">
        <v>28</v>
      </c>
      <c r="C348" s="6">
        <v>46091.708333333343</v>
      </c>
      <c r="D348" s="3" t="s">
        <v>53</v>
      </c>
      <c r="E348" s="3" t="s">
        <v>24</v>
      </c>
      <c r="F348" s="3" t="s">
        <v>54</v>
      </c>
      <c r="G348" s="3" t="s">
        <v>15</v>
      </c>
      <c r="H348" s="3">
        <v>22</v>
      </c>
      <c r="I348" s="3">
        <v>700</v>
      </c>
      <c r="J348" s="3" t="s">
        <v>16</v>
      </c>
      <c r="K348" s="3" t="str">
        <f t="shared" si="10"/>
        <v>Tuesday</v>
      </c>
      <c r="L348" s="3" t="str">
        <f t="shared" si="11"/>
        <v>Late Evening</v>
      </c>
    </row>
    <row r="349" spans="1:12" x14ac:dyDescent="0.35">
      <c r="A349" s="3" t="s">
        <v>571</v>
      </c>
      <c r="B349" s="3" t="s">
        <v>237</v>
      </c>
      <c r="C349" s="6">
        <v>46083.770833333343</v>
      </c>
      <c r="D349" s="3" t="s">
        <v>53</v>
      </c>
      <c r="E349" s="3" t="s">
        <v>41</v>
      </c>
      <c r="F349" s="3" t="s">
        <v>14</v>
      </c>
      <c r="G349" s="3" t="s">
        <v>57</v>
      </c>
      <c r="H349" s="3">
        <v>0</v>
      </c>
      <c r="I349" s="3">
        <v>800</v>
      </c>
      <c r="J349" s="3" t="s">
        <v>16</v>
      </c>
      <c r="K349" s="3" t="str">
        <f t="shared" si="10"/>
        <v>Monday</v>
      </c>
      <c r="L349" s="3" t="str">
        <f t="shared" si="11"/>
        <v>Late Evening</v>
      </c>
    </row>
    <row r="350" spans="1:12" x14ac:dyDescent="0.35">
      <c r="A350" s="3" t="s">
        <v>572</v>
      </c>
      <c r="B350" s="3" t="s">
        <v>284</v>
      </c>
      <c r="C350" s="6">
        <v>46167.489583333343</v>
      </c>
      <c r="D350" s="3" t="s">
        <v>40</v>
      </c>
      <c r="E350" s="3" t="s">
        <v>13</v>
      </c>
      <c r="F350" s="3" t="s">
        <v>54</v>
      </c>
      <c r="G350" s="3" t="s">
        <v>20</v>
      </c>
      <c r="H350" s="3">
        <v>0</v>
      </c>
      <c r="I350" s="3">
        <v>500</v>
      </c>
      <c r="J350" s="3" t="s">
        <v>26</v>
      </c>
      <c r="K350" s="3" t="str">
        <f t="shared" si="10"/>
        <v>Monday</v>
      </c>
      <c r="L350" s="3" t="str">
        <f t="shared" si="11"/>
        <v>Afternoon</v>
      </c>
    </row>
    <row r="351" spans="1:12" x14ac:dyDescent="0.35">
      <c r="A351" s="3" t="s">
        <v>573</v>
      </c>
      <c r="B351" s="3" t="s">
        <v>409</v>
      </c>
      <c r="C351" s="6">
        <v>46082.760416666657</v>
      </c>
      <c r="D351" s="3" t="s">
        <v>12</v>
      </c>
      <c r="E351" s="3" t="s">
        <v>41</v>
      </c>
      <c r="F351" s="3" t="s">
        <v>14</v>
      </c>
      <c r="G351" s="3" t="s">
        <v>15</v>
      </c>
      <c r="H351" s="3">
        <v>45</v>
      </c>
      <c r="I351" s="3">
        <v>900</v>
      </c>
      <c r="J351" s="3" t="s">
        <v>16</v>
      </c>
      <c r="K351" s="3" t="str">
        <f t="shared" si="10"/>
        <v>Sunday</v>
      </c>
      <c r="L351" s="3" t="str">
        <f t="shared" si="11"/>
        <v>Late Evening</v>
      </c>
    </row>
    <row r="352" spans="1:12" x14ac:dyDescent="0.35">
      <c r="A352" s="3" t="s">
        <v>574</v>
      </c>
      <c r="B352" s="3" t="s">
        <v>575</v>
      </c>
      <c r="C352" s="6">
        <v>46056.59375</v>
      </c>
      <c r="D352" s="3" t="s">
        <v>40</v>
      </c>
      <c r="E352" s="3" t="s">
        <v>13</v>
      </c>
      <c r="F352" s="3" t="s">
        <v>19</v>
      </c>
      <c r="G352" s="3" t="s">
        <v>15</v>
      </c>
      <c r="H352" s="3">
        <v>18</v>
      </c>
      <c r="I352" s="3">
        <v>500</v>
      </c>
      <c r="J352" s="3" t="s">
        <v>26</v>
      </c>
      <c r="K352" s="3" t="str">
        <f t="shared" si="10"/>
        <v>Tuesday</v>
      </c>
      <c r="L352" s="3" t="str">
        <f t="shared" si="11"/>
        <v>Evening</v>
      </c>
    </row>
    <row r="353" spans="1:12" x14ac:dyDescent="0.35">
      <c r="A353" s="3" t="s">
        <v>576</v>
      </c>
      <c r="B353" s="3" t="s">
        <v>577</v>
      </c>
      <c r="C353" s="6">
        <v>46041.614583333343</v>
      </c>
      <c r="D353" s="3" t="s">
        <v>31</v>
      </c>
      <c r="E353" s="3" t="s">
        <v>24</v>
      </c>
      <c r="F353" s="3" t="s">
        <v>25</v>
      </c>
      <c r="G353" s="3" t="s">
        <v>20</v>
      </c>
      <c r="H353" s="3">
        <v>0</v>
      </c>
      <c r="I353" s="3">
        <v>1000</v>
      </c>
      <c r="J353" s="3" t="s">
        <v>16</v>
      </c>
      <c r="K353" s="3" t="str">
        <f t="shared" si="10"/>
        <v>Monday</v>
      </c>
      <c r="L353" s="3" t="str">
        <f t="shared" si="11"/>
        <v>Evening</v>
      </c>
    </row>
    <row r="354" spans="1:12" x14ac:dyDescent="0.35">
      <c r="A354" s="3" t="s">
        <v>578</v>
      </c>
      <c r="B354" s="3" t="s">
        <v>342</v>
      </c>
      <c r="C354" s="6">
        <v>46134.6875</v>
      </c>
      <c r="D354" s="3" t="s">
        <v>53</v>
      </c>
      <c r="E354" s="3" t="s">
        <v>41</v>
      </c>
      <c r="F354" s="3" t="s">
        <v>25</v>
      </c>
      <c r="G354" s="3" t="s">
        <v>15</v>
      </c>
      <c r="H354" s="3">
        <v>28</v>
      </c>
      <c r="I354" s="3">
        <v>700</v>
      </c>
      <c r="J354" s="3" t="s">
        <v>26</v>
      </c>
      <c r="K354" s="3" t="str">
        <f t="shared" si="10"/>
        <v>Wednesday</v>
      </c>
      <c r="L354" s="3" t="str">
        <f t="shared" si="11"/>
        <v>Evening</v>
      </c>
    </row>
    <row r="355" spans="1:12" x14ac:dyDescent="0.35">
      <c r="A355" s="3" t="s">
        <v>579</v>
      </c>
      <c r="B355" s="3" t="s">
        <v>264</v>
      </c>
      <c r="C355" s="6">
        <v>46119.520833333343</v>
      </c>
      <c r="D355" s="3" t="s">
        <v>40</v>
      </c>
      <c r="E355" s="3" t="s">
        <v>41</v>
      </c>
      <c r="F355" s="3" t="s">
        <v>14</v>
      </c>
      <c r="G355" s="3" t="s">
        <v>15</v>
      </c>
      <c r="H355" s="3">
        <v>34</v>
      </c>
      <c r="I355" s="3">
        <v>500</v>
      </c>
      <c r="J355" s="3" t="s">
        <v>16</v>
      </c>
      <c r="K355" s="3" t="str">
        <f t="shared" si="10"/>
        <v>Tuesday</v>
      </c>
      <c r="L355" s="3" t="str">
        <f t="shared" si="11"/>
        <v>Afternoon</v>
      </c>
    </row>
    <row r="356" spans="1:12" x14ac:dyDescent="0.35">
      <c r="A356" s="3" t="s">
        <v>580</v>
      </c>
      <c r="B356" s="3" t="s">
        <v>581</v>
      </c>
      <c r="C356" s="6">
        <v>46069.770833333343</v>
      </c>
      <c r="D356" s="3" t="s">
        <v>40</v>
      </c>
      <c r="E356" s="3" t="s">
        <v>24</v>
      </c>
      <c r="F356" s="3" t="s">
        <v>14</v>
      </c>
      <c r="G356" s="3" t="s">
        <v>20</v>
      </c>
      <c r="H356" s="3">
        <v>0</v>
      </c>
      <c r="I356" s="3">
        <v>500</v>
      </c>
      <c r="J356" s="3" t="s">
        <v>16</v>
      </c>
      <c r="K356" s="3" t="str">
        <f t="shared" si="10"/>
        <v>Monday</v>
      </c>
      <c r="L356" s="3" t="str">
        <f t="shared" si="11"/>
        <v>Late Evening</v>
      </c>
    </row>
    <row r="357" spans="1:12" x14ac:dyDescent="0.35">
      <c r="A357" s="3" t="s">
        <v>582</v>
      </c>
      <c r="B357" s="3" t="s">
        <v>101</v>
      </c>
      <c r="C357" s="6">
        <v>46042.479166666657</v>
      </c>
      <c r="D357" s="3" t="s">
        <v>23</v>
      </c>
      <c r="E357" s="3" t="s">
        <v>47</v>
      </c>
      <c r="F357" s="3" t="s">
        <v>14</v>
      </c>
      <c r="G357" s="3" t="s">
        <v>15</v>
      </c>
      <c r="H357" s="3">
        <v>40</v>
      </c>
      <c r="I357" s="3">
        <v>800</v>
      </c>
      <c r="J357" s="3" t="s">
        <v>16</v>
      </c>
      <c r="K357" s="3" t="str">
        <f t="shared" si="10"/>
        <v>Tuesday</v>
      </c>
      <c r="L357" s="3" t="str">
        <f t="shared" si="11"/>
        <v>Afternoon</v>
      </c>
    </row>
    <row r="358" spans="1:12" x14ac:dyDescent="0.35">
      <c r="A358" s="3" t="s">
        <v>583</v>
      </c>
      <c r="B358" s="3" t="s">
        <v>584</v>
      </c>
      <c r="C358" s="6">
        <v>46090.46875</v>
      </c>
      <c r="D358" s="3" t="s">
        <v>79</v>
      </c>
      <c r="E358" s="3" t="s">
        <v>13</v>
      </c>
      <c r="F358" s="3" t="s">
        <v>25</v>
      </c>
      <c r="G358" s="3" t="s">
        <v>57</v>
      </c>
      <c r="H358" s="3">
        <v>0</v>
      </c>
      <c r="I358" s="3">
        <v>700</v>
      </c>
      <c r="J358" s="3" t="s">
        <v>26</v>
      </c>
      <c r="K358" s="3" t="str">
        <f t="shared" si="10"/>
        <v>Monday</v>
      </c>
      <c r="L358" s="3" t="str">
        <f t="shared" si="11"/>
        <v>Afternoon</v>
      </c>
    </row>
    <row r="359" spans="1:12" x14ac:dyDescent="0.35">
      <c r="A359" s="3" t="s">
        <v>585</v>
      </c>
      <c r="B359" s="3" t="s">
        <v>377</v>
      </c>
      <c r="C359" s="6">
        <v>46121.697916666657</v>
      </c>
      <c r="D359" s="3" t="s">
        <v>12</v>
      </c>
      <c r="E359" s="3" t="s">
        <v>41</v>
      </c>
      <c r="F359" s="3" t="s">
        <v>54</v>
      </c>
      <c r="G359" s="3" t="s">
        <v>15</v>
      </c>
      <c r="H359" s="3">
        <v>20</v>
      </c>
      <c r="I359" s="3">
        <v>1100</v>
      </c>
      <c r="J359" s="3" t="s">
        <v>16</v>
      </c>
      <c r="K359" s="3" t="str">
        <f t="shared" si="10"/>
        <v>Thursday</v>
      </c>
      <c r="L359" s="3" t="str">
        <f t="shared" si="11"/>
        <v>Evening</v>
      </c>
    </row>
    <row r="360" spans="1:12" x14ac:dyDescent="0.35">
      <c r="A360" s="3" t="s">
        <v>586</v>
      </c>
      <c r="B360" s="3" t="s">
        <v>179</v>
      </c>
      <c r="C360" s="6">
        <v>46048.677083333343</v>
      </c>
      <c r="D360" s="3" t="s">
        <v>50</v>
      </c>
      <c r="E360" s="3" t="s">
        <v>13</v>
      </c>
      <c r="F360" s="3" t="s">
        <v>14</v>
      </c>
      <c r="G360" s="3" t="s">
        <v>15</v>
      </c>
      <c r="H360" s="3">
        <v>23</v>
      </c>
      <c r="I360" s="3">
        <v>600</v>
      </c>
      <c r="J360" s="3" t="s">
        <v>16</v>
      </c>
      <c r="K360" s="3" t="str">
        <f t="shared" si="10"/>
        <v>Monday</v>
      </c>
      <c r="L360" s="3" t="str">
        <f t="shared" si="11"/>
        <v>Evening</v>
      </c>
    </row>
    <row r="361" spans="1:12" x14ac:dyDescent="0.35">
      <c r="A361" s="3" t="s">
        <v>587</v>
      </c>
      <c r="B361" s="3" t="s">
        <v>588</v>
      </c>
      <c r="C361" s="6">
        <v>46089.375</v>
      </c>
      <c r="D361" s="3" t="s">
        <v>31</v>
      </c>
      <c r="E361" s="3" t="s">
        <v>13</v>
      </c>
      <c r="F361" s="3" t="s">
        <v>54</v>
      </c>
      <c r="G361" s="3" t="s">
        <v>15</v>
      </c>
      <c r="H361" s="3">
        <v>29</v>
      </c>
      <c r="I361" s="3">
        <v>1000</v>
      </c>
      <c r="J361" s="3" t="s">
        <v>26</v>
      </c>
      <c r="K361" s="3" t="str">
        <f t="shared" si="10"/>
        <v>Sunday</v>
      </c>
      <c r="L361" s="3" t="str">
        <f t="shared" si="11"/>
        <v>Morning</v>
      </c>
    </row>
    <row r="362" spans="1:12" x14ac:dyDescent="0.35">
      <c r="A362" s="3" t="s">
        <v>589</v>
      </c>
      <c r="B362" s="3" t="s">
        <v>590</v>
      </c>
      <c r="C362" s="6">
        <v>46109.78125</v>
      </c>
      <c r="D362" s="3" t="s">
        <v>12</v>
      </c>
      <c r="E362" s="3" t="s">
        <v>24</v>
      </c>
      <c r="F362" s="3" t="s">
        <v>19</v>
      </c>
      <c r="G362" s="3" t="s">
        <v>57</v>
      </c>
      <c r="H362" s="3">
        <v>0</v>
      </c>
      <c r="I362" s="3">
        <v>1000</v>
      </c>
      <c r="J362" s="3" t="s">
        <v>16</v>
      </c>
      <c r="K362" s="3" t="str">
        <f t="shared" si="10"/>
        <v>Saturday</v>
      </c>
      <c r="L362" s="3" t="str">
        <f t="shared" si="11"/>
        <v>Late Evening</v>
      </c>
    </row>
    <row r="363" spans="1:12" x14ac:dyDescent="0.35">
      <c r="A363" s="3" t="s">
        <v>591</v>
      </c>
      <c r="B363" s="3" t="s">
        <v>119</v>
      </c>
      <c r="C363" s="6">
        <v>46048.59375</v>
      </c>
      <c r="D363" s="3" t="s">
        <v>53</v>
      </c>
      <c r="E363" s="3" t="s">
        <v>37</v>
      </c>
      <c r="F363" s="3" t="s">
        <v>25</v>
      </c>
      <c r="G363" s="3" t="s">
        <v>15</v>
      </c>
      <c r="H363" s="3">
        <v>22</v>
      </c>
      <c r="I363" s="3">
        <v>900</v>
      </c>
      <c r="J363" s="3" t="s">
        <v>16</v>
      </c>
      <c r="K363" s="3" t="str">
        <f t="shared" si="10"/>
        <v>Monday</v>
      </c>
      <c r="L363" s="3" t="str">
        <f t="shared" si="11"/>
        <v>Evening</v>
      </c>
    </row>
    <row r="364" spans="1:12" x14ac:dyDescent="0.35">
      <c r="A364" s="3" t="s">
        <v>592</v>
      </c>
      <c r="B364" s="3" t="s">
        <v>593</v>
      </c>
      <c r="C364" s="6">
        <v>46047.364583333343</v>
      </c>
      <c r="D364" s="3" t="s">
        <v>99</v>
      </c>
      <c r="E364" s="3" t="s">
        <v>13</v>
      </c>
      <c r="F364" s="3" t="s">
        <v>54</v>
      </c>
      <c r="G364" s="3" t="s">
        <v>20</v>
      </c>
      <c r="H364" s="3">
        <v>0</v>
      </c>
      <c r="I364" s="3">
        <v>500</v>
      </c>
      <c r="J364" s="3" t="s">
        <v>26</v>
      </c>
      <c r="K364" s="3" t="str">
        <f t="shared" si="10"/>
        <v>Sunday</v>
      </c>
      <c r="L364" s="3" t="str">
        <f t="shared" si="11"/>
        <v>Morning</v>
      </c>
    </row>
    <row r="365" spans="1:12" x14ac:dyDescent="0.35">
      <c r="A365" s="3" t="s">
        <v>594</v>
      </c>
      <c r="B365" s="3" t="s">
        <v>409</v>
      </c>
      <c r="C365" s="6">
        <v>46023.625</v>
      </c>
      <c r="D365" s="3" t="s">
        <v>31</v>
      </c>
      <c r="E365" s="3" t="s">
        <v>13</v>
      </c>
      <c r="F365" s="3" t="s">
        <v>19</v>
      </c>
      <c r="G365" s="3" t="s">
        <v>15</v>
      </c>
      <c r="H365" s="3">
        <v>56</v>
      </c>
      <c r="I365" s="3">
        <v>900</v>
      </c>
      <c r="J365" s="3" t="s">
        <v>26</v>
      </c>
      <c r="K365" s="3" t="str">
        <f t="shared" si="10"/>
        <v>Thursday</v>
      </c>
      <c r="L365" s="3" t="str">
        <f t="shared" si="11"/>
        <v>Evening</v>
      </c>
    </row>
    <row r="366" spans="1:12" x14ac:dyDescent="0.35">
      <c r="A366" s="3" t="s">
        <v>595</v>
      </c>
      <c r="B366" s="3" t="s">
        <v>169</v>
      </c>
      <c r="C366" s="6">
        <v>46066.5</v>
      </c>
      <c r="D366" s="3" t="s">
        <v>12</v>
      </c>
      <c r="E366" s="3" t="s">
        <v>47</v>
      </c>
      <c r="F366" s="3" t="s">
        <v>54</v>
      </c>
      <c r="G366" s="3" t="s">
        <v>15</v>
      </c>
      <c r="H366" s="3">
        <v>39</v>
      </c>
      <c r="I366" s="3">
        <v>1000</v>
      </c>
      <c r="J366" s="3" t="s">
        <v>756</v>
      </c>
      <c r="K366" s="3" t="str">
        <f t="shared" si="10"/>
        <v>Friday</v>
      </c>
      <c r="L366" s="3" t="str">
        <f t="shared" si="11"/>
        <v>Afternoon</v>
      </c>
    </row>
    <row r="367" spans="1:12" x14ac:dyDescent="0.35">
      <c r="A367" s="3" t="s">
        <v>596</v>
      </c>
      <c r="B367" s="3" t="s">
        <v>247</v>
      </c>
      <c r="C367" s="6">
        <v>46046.739583333343</v>
      </c>
      <c r="D367" s="3" t="s">
        <v>46</v>
      </c>
      <c r="E367" s="3" t="s">
        <v>24</v>
      </c>
      <c r="F367" s="3" t="s">
        <v>54</v>
      </c>
      <c r="G367" s="3" t="s">
        <v>15</v>
      </c>
      <c r="H367" s="3">
        <v>9</v>
      </c>
      <c r="I367" s="3">
        <v>700</v>
      </c>
      <c r="J367" s="3" t="s">
        <v>16</v>
      </c>
      <c r="K367" s="3" t="str">
        <f t="shared" si="10"/>
        <v>Saturday</v>
      </c>
      <c r="L367" s="3" t="str">
        <f t="shared" si="11"/>
        <v>Late Evening</v>
      </c>
    </row>
    <row r="368" spans="1:12" x14ac:dyDescent="0.35">
      <c r="A368" s="3" t="s">
        <v>597</v>
      </c>
      <c r="B368" s="3" t="s">
        <v>357</v>
      </c>
      <c r="C368" s="6">
        <v>46034.53125</v>
      </c>
      <c r="D368" s="3" t="s">
        <v>23</v>
      </c>
      <c r="E368" s="3" t="s">
        <v>24</v>
      </c>
      <c r="F368" s="3" t="s">
        <v>25</v>
      </c>
      <c r="G368" s="3" t="s">
        <v>15</v>
      </c>
      <c r="H368" s="3">
        <v>41</v>
      </c>
      <c r="I368" s="3">
        <v>800</v>
      </c>
      <c r="J368" s="3" t="s">
        <v>26</v>
      </c>
      <c r="K368" s="3" t="str">
        <f t="shared" si="10"/>
        <v>Monday</v>
      </c>
      <c r="L368" s="3" t="str">
        <f t="shared" si="11"/>
        <v>Afternoon</v>
      </c>
    </row>
    <row r="369" spans="1:12" x14ac:dyDescent="0.35">
      <c r="A369" s="3" t="s">
        <v>598</v>
      </c>
      <c r="B369" s="3" t="s">
        <v>103</v>
      </c>
      <c r="C369" s="6">
        <v>46044.614583333343</v>
      </c>
      <c r="D369" s="3" t="s">
        <v>53</v>
      </c>
      <c r="E369" s="3" t="s">
        <v>41</v>
      </c>
      <c r="F369" s="3" t="s">
        <v>14</v>
      </c>
      <c r="G369" s="3" t="s">
        <v>20</v>
      </c>
      <c r="H369" s="3">
        <v>0</v>
      </c>
      <c r="I369" s="3">
        <v>800</v>
      </c>
      <c r="J369" s="3" t="s">
        <v>16</v>
      </c>
      <c r="K369" s="3" t="str">
        <f t="shared" si="10"/>
        <v>Thursday</v>
      </c>
      <c r="L369" s="3" t="str">
        <f t="shared" si="11"/>
        <v>Evening</v>
      </c>
    </row>
    <row r="370" spans="1:12" x14ac:dyDescent="0.35">
      <c r="A370" s="3" t="s">
        <v>599</v>
      </c>
      <c r="B370" s="3" t="s">
        <v>87</v>
      </c>
      <c r="C370" s="6">
        <v>46160.677083333343</v>
      </c>
      <c r="D370" s="3" t="s">
        <v>50</v>
      </c>
      <c r="E370" s="3" t="s">
        <v>41</v>
      </c>
      <c r="F370" s="3" t="s">
        <v>54</v>
      </c>
      <c r="G370" s="3" t="s">
        <v>15</v>
      </c>
      <c r="H370" s="3">
        <v>53</v>
      </c>
      <c r="I370" s="3">
        <v>500</v>
      </c>
      <c r="J370" s="3" t="s">
        <v>26</v>
      </c>
      <c r="K370" s="3" t="str">
        <f t="shared" si="10"/>
        <v>Monday</v>
      </c>
      <c r="L370" s="3" t="str">
        <f t="shared" si="11"/>
        <v>Evening</v>
      </c>
    </row>
    <row r="371" spans="1:12" x14ac:dyDescent="0.35">
      <c r="A371" s="3" t="s">
        <v>600</v>
      </c>
      <c r="B371" s="3" t="s">
        <v>73</v>
      </c>
      <c r="C371" s="6">
        <v>46053.677083333343</v>
      </c>
      <c r="D371" s="3" t="s">
        <v>40</v>
      </c>
      <c r="E371" s="3" t="s">
        <v>13</v>
      </c>
      <c r="F371" s="3" t="s">
        <v>19</v>
      </c>
      <c r="G371" s="3" t="s">
        <v>15</v>
      </c>
      <c r="H371" s="3">
        <v>40</v>
      </c>
      <c r="I371" s="3">
        <v>500</v>
      </c>
      <c r="J371" s="3" t="s">
        <v>26</v>
      </c>
      <c r="K371" s="3" t="str">
        <f t="shared" si="10"/>
        <v>Saturday</v>
      </c>
      <c r="L371" s="3" t="str">
        <f t="shared" si="11"/>
        <v>Evening</v>
      </c>
    </row>
    <row r="372" spans="1:12" x14ac:dyDescent="0.35">
      <c r="A372" s="3" t="s">
        <v>601</v>
      </c>
      <c r="B372" s="3" t="s">
        <v>232</v>
      </c>
      <c r="C372" s="6">
        <v>46043.635416666657</v>
      </c>
      <c r="D372" s="3" t="s">
        <v>31</v>
      </c>
      <c r="E372" s="3" t="s">
        <v>13</v>
      </c>
      <c r="F372" s="3" t="s">
        <v>25</v>
      </c>
      <c r="G372" s="3" t="s">
        <v>57</v>
      </c>
      <c r="H372" s="3">
        <v>0</v>
      </c>
      <c r="I372" s="3">
        <v>1000</v>
      </c>
      <c r="J372" s="3" t="s">
        <v>16</v>
      </c>
      <c r="K372" s="3" t="str">
        <f t="shared" si="10"/>
        <v>Wednesday</v>
      </c>
      <c r="L372" s="3" t="str">
        <f t="shared" si="11"/>
        <v>Evening</v>
      </c>
    </row>
    <row r="373" spans="1:12" x14ac:dyDescent="0.35">
      <c r="A373" s="3" t="s">
        <v>602</v>
      </c>
      <c r="B373" s="3" t="s">
        <v>140</v>
      </c>
      <c r="C373" s="6">
        <v>46122.739583333343</v>
      </c>
      <c r="D373" s="3" t="s">
        <v>12</v>
      </c>
      <c r="E373" s="3" t="s">
        <v>13</v>
      </c>
      <c r="F373" s="3" t="s">
        <v>25</v>
      </c>
      <c r="G373" s="3" t="s">
        <v>20</v>
      </c>
      <c r="H373" s="3">
        <v>0</v>
      </c>
      <c r="I373" s="3">
        <v>1000</v>
      </c>
      <c r="J373" s="3" t="s">
        <v>16</v>
      </c>
      <c r="K373" s="3" t="str">
        <f t="shared" si="10"/>
        <v>Friday</v>
      </c>
      <c r="L373" s="3" t="str">
        <f t="shared" si="11"/>
        <v>Late Evening</v>
      </c>
    </row>
    <row r="374" spans="1:12" x14ac:dyDescent="0.35">
      <c r="A374" s="3" t="s">
        <v>603</v>
      </c>
      <c r="B374" s="3" t="s">
        <v>267</v>
      </c>
      <c r="C374" s="6">
        <v>46051.635416666657</v>
      </c>
      <c r="D374" s="3" t="s">
        <v>31</v>
      </c>
      <c r="E374" s="3" t="s">
        <v>41</v>
      </c>
      <c r="F374" s="3" t="s">
        <v>14</v>
      </c>
      <c r="G374" s="3" t="s">
        <v>15</v>
      </c>
      <c r="H374" s="3">
        <v>16</v>
      </c>
      <c r="I374" s="3">
        <v>900</v>
      </c>
      <c r="J374" s="3" t="s">
        <v>26</v>
      </c>
      <c r="K374" s="3" t="str">
        <f t="shared" si="10"/>
        <v>Thursday</v>
      </c>
      <c r="L374" s="3" t="str">
        <f t="shared" si="11"/>
        <v>Evening</v>
      </c>
    </row>
    <row r="375" spans="1:12" x14ac:dyDescent="0.35">
      <c r="A375" s="3" t="s">
        <v>604</v>
      </c>
      <c r="B375" s="3" t="s">
        <v>566</v>
      </c>
      <c r="C375" s="6">
        <v>46096.729166666657</v>
      </c>
      <c r="D375" s="3" t="s">
        <v>40</v>
      </c>
      <c r="E375" s="3" t="s">
        <v>13</v>
      </c>
      <c r="F375" s="3" t="s">
        <v>54</v>
      </c>
      <c r="G375" s="3" t="s">
        <v>15</v>
      </c>
      <c r="H375" s="3">
        <v>22</v>
      </c>
      <c r="I375" s="3">
        <v>500</v>
      </c>
      <c r="J375" s="3" t="s">
        <v>16</v>
      </c>
      <c r="K375" s="3" t="str">
        <f t="shared" si="10"/>
        <v>Sunday</v>
      </c>
      <c r="L375" s="3" t="str">
        <f t="shared" si="11"/>
        <v>Late Evening</v>
      </c>
    </row>
    <row r="376" spans="1:12" x14ac:dyDescent="0.35">
      <c r="A376" s="3" t="s">
        <v>605</v>
      </c>
      <c r="B376" s="3" t="s">
        <v>105</v>
      </c>
      <c r="C376" s="6">
        <v>46093.635416666657</v>
      </c>
      <c r="D376" s="3" t="s">
        <v>12</v>
      </c>
      <c r="E376" s="3" t="s">
        <v>47</v>
      </c>
      <c r="F376" s="3" t="s">
        <v>54</v>
      </c>
      <c r="G376" s="3" t="s">
        <v>20</v>
      </c>
      <c r="H376" s="3">
        <v>0</v>
      </c>
      <c r="I376" s="3">
        <v>900</v>
      </c>
      <c r="J376" s="3" t="s">
        <v>26</v>
      </c>
      <c r="K376" s="3" t="str">
        <f t="shared" si="10"/>
        <v>Thursday</v>
      </c>
      <c r="L376" s="3" t="str">
        <f t="shared" si="11"/>
        <v>Evening</v>
      </c>
    </row>
    <row r="377" spans="1:12" x14ac:dyDescent="0.35">
      <c r="A377" s="3" t="s">
        <v>606</v>
      </c>
      <c r="B377" s="3" t="s">
        <v>208</v>
      </c>
      <c r="C377" s="6">
        <v>46199.458333333343</v>
      </c>
      <c r="D377" s="3" t="s">
        <v>46</v>
      </c>
      <c r="E377" s="3" t="s">
        <v>13</v>
      </c>
      <c r="F377" s="3" t="s">
        <v>25</v>
      </c>
      <c r="G377" s="3" t="s">
        <v>57</v>
      </c>
      <c r="H377" s="3">
        <v>0</v>
      </c>
      <c r="I377" s="3">
        <v>800</v>
      </c>
      <c r="J377" s="3" t="s">
        <v>16</v>
      </c>
      <c r="K377" s="3" t="str">
        <f t="shared" si="10"/>
        <v>Friday</v>
      </c>
      <c r="L377" s="3" t="str">
        <f t="shared" si="11"/>
        <v>Afternoon</v>
      </c>
    </row>
    <row r="378" spans="1:12" x14ac:dyDescent="0.35">
      <c r="A378" s="3" t="s">
        <v>607</v>
      </c>
      <c r="B378" s="3" t="s">
        <v>196</v>
      </c>
      <c r="C378" s="6">
        <v>46100.520833333343</v>
      </c>
      <c r="D378" s="3" t="s">
        <v>31</v>
      </c>
      <c r="E378" s="3" t="s">
        <v>37</v>
      </c>
      <c r="F378" s="3" t="s">
        <v>19</v>
      </c>
      <c r="G378" s="3" t="s">
        <v>15</v>
      </c>
      <c r="H378" s="3">
        <v>50</v>
      </c>
      <c r="I378" s="3">
        <v>1000</v>
      </c>
      <c r="J378" s="3" t="s">
        <v>26</v>
      </c>
      <c r="K378" s="3" t="str">
        <f t="shared" si="10"/>
        <v>Thursday</v>
      </c>
      <c r="L378" s="3" t="str">
        <f t="shared" si="11"/>
        <v>Afternoon</v>
      </c>
    </row>
    <row r="379" spans="1:12" x14ac:dyDescent="0.35">
      <c r="A379" s="3" t="s">
        <v>608</v>
      </c>
      <c r="B379" s="3" t="s">
        <v>115</v>
      </c>
      <c r="C379" s="6">
        <v>46105.53125</v>
      </c>
      <c r="D379" s="3" t="s">
        <v>36</v>
      </c>
      <c r="E379" s="3" t="s">
        <v>47</v>
      </c>
      <c r="F379" s="3" t="s">
        <v>54</v>
      </c>
      <c r="G379" s="3" t="s">
        <v>20</v>
      </c>
      <c r="H379" s="3">
        <v>0</v>
      </c>
      <c r="I379" s="3">
        <v>600</v>
      </c>
      <c r="J379" s="3" t="s">
        <v>26</v>
      </c>
      <c r="K379" s="3" t="str">
        <f t="shared" si="10"/>
        <v>Tuesday</v>
      </c>
      <c r="L379" s="3" t="str">
        <f t="shared" si="11"/>
        <v>Afternoon</v>
      </c>
    </row>
    <row r="380" spans="1:12" x14ac:dyDescent="0.35">
      <c r="A380" s="3" t="s">
        <v>609</v>
      </c>
      <c r="B380" s="3" t="s">
        <v>610</v>
      </c>
      <c r="C380" s="6">
        <v>46155.583333333343</v>
      </c>
      <c r="D380" s="3" t="s">
        <v>46</v>
      </c>
      <c r="E380" s="3" t="s">
        <v>24</v>
      </c>
      <c r="F380" s="3" t="s">
        <v>25</v>
      </c>
      <c r="G380" s="3" t="s">
        <v>20</v>
      </c>
      <c r="H380" s="3">
        <v>0</v>
      </c>
      <c r="I380" s="3">
        <v>700</v>
      </c>
      <c r="J380" s="3" t="s">
        <v>16</v>
      </c>
      <c r="K380" s="3" t="str">
        <f t="shared" si="10"/>
        <v>Wednesday</v>
      </c>
      <c r="L380" s="3" t="str">
        <f t="shared" si="11"/>
        <v>Evening</v>
      </c>
    </row>
    <row r="381" spans="1:12" x14ac:dyDescent="0.35">
      <c r="A381" s="3" t="s">
        <v>611</v>
      </c>
      <c r="B381" s="3" t="s">
        <v>350</v>
      </c>
      <c r="C381" s="6">
        <v>46067.46875</v>
      </c>
      <c r="D381" s="3" t="s">
        <v>53</v>
      </c>
      <c r="E381" s="3" t="s">
        <v>37</v>
      </c>
      <c r="F381" s="3" t="s">
        <v>54</v>
      </c>
      <c r="G381" s="3" t="s">
        <v>15</v>
      </c>
      <c r="H381" s="3">
        <v>21</v>
      </c>
      <c r="I381" s="3">
        <v>800</v>
      </c>
      <c r="J381" s="3" t="s">
        <v>26</v>
      </c>
      <c r="K381" s="3" t="str">
        <f t="shared" si="10"/>
        <v>Saturday</v>
      </c>
      <c r="L381" s="3" t="str">
        <f t="shared" si="11"/>
        <v>Afternoon</v>
      </c>
    </row>
    <row r="382" spans="1:12" x14ac:dyDescent="0.35">
      <c r="A382" s="3" t="s">
        <v>612</v>
      </c>
      <c r="B382" s="3" t="s">
        <v>101</v>
      </c>
      <c r="C382" s="6">
        <v>46093.614583333343</v>
      </c>
      <c r="D382" s="3" t="s">
        <v>99</v>
      </c>
      <c r="E382" s="3" t="s">
        <v>24</v>
      </c>
      <c r="F382" s="3" t="s">
        <v>14</v>
      </c>
      <c r="G382" s="3" t="s">
        <v>20</v>
      </c>
      <c r="H382" s="3">
        <v>0</v>
      </c>
      <c r="I382" s="3">
        <v>700</v>
      </c>
      <c r="J382" s="3" t="s">
        <v>26</v>
      </c>
      <c r="K382" s="3" t="str">
        <f t="shared" si="10"/>
        <v>Thursday</v>
      </c>
      <c r="L382" s="3" t="str">
        <f t="shared" si="11"/>
        <v>Evening</v>
      </c>
    </row>
    <row r="383" spans="1:12" x14ac:dyDescent="0.35">
      <c r="A383" s="3" t="s">
        <v>613</v>
      </c>
      <c r="B383" s="3" t="s">
        <v>267</v>
      </c>
      <c r="C383" s="6">
        <v>46148.78125</v>
      </c>
      <c r="D383" s="3" t="s">
        <v>23</v>
      </c>
      <c r="E383" s="3" t="s">
        <v>24</v>
      </c>
      <c r="F383" s="3" t="s">
        <v>25</v>
      </c>
      <c r="G383" s="3" t="s">
        <v>15</v>
      </c>
      <c r="H383" s="3">
        <v>35</v>
      </c>
      <c r="I383" s="3">
        <v>900</v>
      </c>
      <c r="J383" s="3" t="s">
        <v>16</v>
      </c>
      <c r="K383" s="3" t="str">
        <f t="shared" si="10"/>
        <v>Wednesday</v>
      </c>
      <c r="L383" s="3" t="str">
        <f t="shared" si="11"/>
        <v>Late Evening</v>
      </c>
    </row>
    <row r="384" spans="1:12" x14ac:dyDescent="0.35">
      <c r="A384" s="3" t="s">
        <v>614</v>
      </c>
      <c r="B384" s="3" t="s">
        <v>372</v>
      </c>
      <c r="C384" s="6">
        <v>46199.395833333343</v>
      </c>
      <c r="D384" s="3" t="s">
        <v>23</v>
      </c>
      <c r="E384" s="3" t="s">
        <v>24</v>
      </c>
      <c r="F384" s="3" t="s">
        <v>19</v>
      </c>
      <c r="G384" s="3" t="s">
        <v>15</v>
      </c>
      <c r="H384" s="3">
        <v>39</v>
      </c>
      <c r="I384" s="3">
        <v>900</v>
      </c>
      <c r="J384" s="3" t="s">
        <v>26</v>
      </c>
      <c r="K384" s="3" t="str">
        <f t="shared" si="10"/>
        <v>Friday</v>
      </c>
      <c r="L384" s="3" t="str">
        <f t="shared" si="11"/>
        <v>Morning</v>
      </c>
    </row>
    <row r="385" spans="1:12" x14ac:dyDescent="0.35">
      <c r="A385" s="3" t="s">
        <v>615</v>
      </c>
      <c r="B385" s="3" t="s">
        <v>440</v>
      </c>
      <c r="C385" s="6">
        <v>46196.479166666657</v>
      </c>
      <c r="D385" s="3" t="s">
        <v>53</v>
      </c>
      <c r="E385" s="3" t="s">
        <v>47</v>
      </c>
      <c r="F385" s="3" t="s">
        <v>14</v>
      </c>
      <c r="G385" s="3" t="s">
        <v>57</v>
      </c>
      <c r="H385" s="3">
        <v>0</v>
      </c>
      <c r="I385" s="3">
        <v>900</v>
      </c>
      <c r="J385" s="3" t="s">
        <v>26</v>
      </c>
      <c r="K385" s="3" t="str">
        <f t="shared" si="10"/>
        <v>Tuesday</v>
      </c>
      <c r="L385" s="3" t="str">
        <f t="shared" si="11"/>
        <v>Afternoon</v>
      </c>
    </row>
    <row r="386" spans="1:12" x14ac:dyDescent="0.35">
      <c r="A386" s="3" t="s">
        <v>616</v>
      </c>
      <c r="B386" s="3" t="s">
        <v>181</v>
      </c>
      <c r="C386" s="6">
        <v>46188.416666666657</v>
      </c>
      <c r="D386" s="3" t="s">
        <v>79</v>
      </c>
      <c r="E386" s="3" t="s">
        <v>47</v>
      </c>
      <c r="F386" s="3" t="s">
        <v>25</v>
      </c>
      <c r="G386" s="3" t="s">
        <v>15</v>
      </c>
      <c r="H386" s="3">
        <v>13</v>
      </c>
      <c r="I386" s="3">
        <v>700</v>
      </c>
      <c r="J386" s="3" t="s">
        <v>16</v>
      </c>
      <c r="K386" s="3" t="str">
        <f t="shared" si="10"/>
        <v>Monday</v>
      </c>
      <c r="L386" s="3" t="str">
        <f t="shared" si="11"/>
        <v>Morning</v>
      </c>
    </row>
    <row r="387" spans="1:12" x14ac:dyDescent="0.35">
      <c r="A387" s="3" t="s">
        <v>617</v>
      </c>
      <c r="B387" s="3" t="s">
        <v>121</v>
      </c>
      <c r="C387" s="6">
        <v>46112.6875</v>
      </c>
      <c r="D387" s="3" t="s">
        <v>46</v>
      </c>
      <c r="E387" s="3" t="s">
        <v>13</v>
      </c>
      <c r="F387" s="3" t="s">
        <v>54</v>
      </c>
      <c r="G387" s="3" t="s">
        <v>15</v>
      </c>
      <c r="H387" s="3">
        <v>24</v>
      </c>
      <c r="I387" s="3">
        <v>800</v>
      </c>
      <c r="J387" s="3" t="s">
        <v>26</v>
      </c>
      <c r="K387" s="3" t="str">
        <f t="shared" ref="K387:K450" si="12">TEXT(C387,"dddd")</f>
        <v>Tuesday</v>
      </c>
      <c r="L387" s="3" t="str">
        <f t="shared" ref="L387:L450" si="13">IF(HOUR(C387)&lt;11,"Morning",IF(HOUR(C387)&lt;14,"Afternoon",IF(HOUR(C387)&lt;17,"Evening","Late Evening")))</f>
        <v>Evening</v>
      </c>
    </row>
    <row r="388" spans="1:12" x14ac:dyDescent="0.35">
      <c r="A388" s="3" t="s">
        <v>618</v>
      </c>
      <c r="B388" s="3" t="s">
        <v>81</v>
      </c>
      <c r="C388" s="6">
        <v>46166.770833333343</v>
      </c>
      <c r="D388" s="3" t="s">
        <v>31</v>
      </c>
      <c r="E388" s="3" t="s">
        <v>37</v>
      </c>
      <c r="F388" s="3" t="s">
        <v>14</v>
      </c>
      <c r="G388" s="3" t="s">
        <v>15</v>
      </c>
      <c r="H388" s="3">
        <v>5</v>
      </c>
      <c r="I388" s="3">
        <v>1000</v>
      </c>
      <c r="J388" s="3" t="s">
        <v>16</v>
      </c>
      <c r="K388" s="3" t="str">
        <f t="shared" si="12"/>
        <v>Sunday</v>
      </c>
      <c r="L388" s="3" t="str">
        <f t="shared" si="13"/>
        <v>Late Evening</v>
      </c>
    </row>
    <row r="389" spans="1:12" x14ac:dyDescent="0.35">
      <c r="A389" s="3" t="s">
        <v>619</v>
      </c>
      <c r="B389" s="3" t="s">
        <v>165</v>
      </c>
      <c r="C389" s="6">
        <v>46093.520833333343</v>
      </c>
      <c r="D389" s="3" t="s">
        <v>36</v>
      </c>
      <c r="E389" s="3" t="s">
        <v>41</v>
      </c>
      <c r="F389" s="3" t="s">
        <v>19</v>
      </c>
      <c r="G389" s="3" t="s">
        <v>15</v>
      </c>
      <c r="H389" s="3">
        <v>9</v>
      </c>
      <c r="I389" s="3">
        <v>600</v>
      </c>
      <c r="J389" s="3" t="s">
        <v>26</v>
      </c>
      <c r="K389" s="3" t="str">
        <f t="shared" si="12"/>
        <v>Thursday</v>
      </c>
      <c r="L389" s="3" t="str">
        <f t="shared" si="13"/>
        <v>Afternoon</v>
      </c>
    </row>
    <row r="390" spans="1:12" x14ac:dyDescent="0.35">
      <c r="A390" s="3" t="s">
        <v>620</v>
      </c>
      <c r="B390" s="3" t="s">
        <v>621</v>
      </c>
      <c r="C390" s="6">
        <v>46192.59375</v>
      </c>
      <c r="D390" s="3" t="s">
        <v>50</v>
      </c>
      <c r="E390" s="3" t="s">
        <v>37</v>
      </c>
      <c r="F390" s="3" t="s">
        <v>54</v>
      </c>
      <c r="G390" s="3" t="s">
        <v>57</v>
      </c>
      <c r="H390" s="3">
        <v>0</v>
      </c>
      <c r="I390" s="3">
        <v>500</v>
      </c>
      <c r="J390" s="3" t="s">
        <v>16</v>
      </c>
      <c r="K390" s="3" t="str">
        <f t="shared" si="12"/>
        <v>Friday</v>
      </c>
      <c r="L390" s="3" t="str">
        <f t="shared" si="13"/>
        <v>Evening</v>
      </c>
    </row>
    <row r="391" spans="1:12" x14ac:dyDescent="0.35">
      <c r="A391" s="3" t="s">
        <v>622</v>
      </c>
      <c r="B391" s="3" t="s">
        <v>132</v>
      </c>
      <c r="C391" s="6">
        <v>46126.625</v>
      </c>
      <c r="D391" s="3" t="s">
        <v>36</v>
      </c>
      <c r="E391" s="3" t="s">
        <v>24</v>
      </c>
      <c r="F391" s="3" t="s">
        <v>19</v>
      </c>
      <c r="G391" s="3" t="s">
        <v>20</v>
      </c>
      <c r="H391" s="3">
        <v>0</v>
      </c>
      <c r="I391" s="3">
        <v>500</v>
      </c>
      <c r="J391" s="3" t="s">
        <v>16</v>
      </c>
      <c r="K391" s="3" t="str">
        <f t="shared" si="12"/>
        <v>Tuesday</v>
      </c>
      <c r="L391" s="3" t="str">
        <f t="shared" si="13"/>
        <v>Evening</v>
      </c>
    </row>
    <row r="392" spans="1:12" x14ac:dyDescent="0.35">
      <c r="A392" s="3" t="s">
        <v>623</v>
      </c>
      <c r="B392" s="3" t="s">
        <v>624</v>
      </c>
      <c r="C392" s="6">
        <v>46194.604166666657</v>
      </c>
      <c r="D392" s="3" t="s">
        <v>23</v>
      </c>
      <c r="E392" s="3" t="s">
        <v>47</v>
      </c>
      <c r="F392" s="3" t="s">
        <v>25</v>
      </c>
      <c r="G392" s="3" t="s">
        <v>15</v>
      </c>
      <c r="H392" s="3">
        <v>26</v>
      </c>
      <c r="I392" s="3">
        <v>700</v>
      </c>
      <c r="J392" s="3" t="s">
        <v>26</v>
      </c>
      <c r="K392" s="3" t="str">
        <f t="shared" si="12"/>
        <v>Sunday</v>
      </c>
      <c r="L392" s="3" t="str">
        <f t="shared" si="13"/>
        <v>Evening</v>
      </c>
    </row>
    <row r="393" spans="1:12" x14ac:dyDescent="0.35">
      <c r="A393" s="3" t="s">
        <v>625</v>
      </c>
      <c r="B393" s="3" t="s">
        <v>621</v>
      </c>
      <c r="C393" s="6">
        <v>46089.71875</v>
      </c>
      <c r="D393" s="3" t="s">
        <v>79</v>
      </c>
      <c r="E393" s="3" t="s">
        <v>37</v>
      </c>
      <c r="F393" s="3" t="s">
        <v>14</v>
      </c>
      <c r="G393" s="3" t="s">
        <v>57</v>
      </c>
      <c r="H393" s="3">
        <v>0</v>
      </c>
      <c r="I393" s="3">
        <v>700</v>
      </c>
      <c r="J393" s="3" t="s">
        <v>26</v>
      </c>
      <c r="K393" s="3" t="str">
        <f t="shared" si="12"/>
        <v>Sunday</v>
      </c>
      <c r="L393" s="3" t="str">
        <f t="shared" si="13"/>
        <v>Late Evening</v>
      </c>
    </row>
    <row r="394" spans="1:12" x14ac:dyDescent="0.35">
      <c r="A394" s="3" t="s">
        <v>626</v>
      </c>
      <c r="B394" s="3" t="s">
        <v>627</v>
      </c>
      <c r="C394" s="6">
        <v>46101.645833333343</v>
      </c>
      <c r="D394" s="3" t="s">
        <v>99</v>
      </c>
      <c r="E394" s="3" t="s">
        <v>13</v>
      </c>
      <c r="F394" s="3" t="s">
        <v>25</v>
      </c>
      <c r="G394" s="3" t="s">
        <v>15</v>
      </c>
      <c r="H394" s="3">
        <v>7</v>
      </c>
      <c r="I394" s="3">
        <v>600</v>
      </c>
      <c r="J394" s="3" t="s">
        <v>16</v>
      </c>
      <c r="K394" s="3" t="str">
        <f t="shared" si="12"/>
        <v>Friday</v>
      </c>
      <c r="L394" s="3" t="str">
        <f t="shared" si="13"/>
        <v>Evening</v>
      </c>
    </row>
    <row r="395" spans="1:12" x14ac:dyDescent="0.35">
      <c r="A395" s="3" t="s">
        <v>628</v>
      </c>
      <c r="B395" s="3" t="s">
        <v>216</v>
      </c>
      <c r="C395" s="6">
        <v>46036.75</v>
      </c>
      <c r="D395" s="3" t="s">
        <v>31</v>
      </c>
      <c r="E395" s="3" t="s">
        <v>41</v>
      </c>
      <c r="F395" s="3" t="s">
        <v>14</v>
      </c>
      <c r="G395" s="3" t="s">
        <v>15</v>
      </c>
      <c r="H395" s="3">
        <v>54</v>
      </c>
      <c r="I395" s="3">
        <v>1000</v>
      </c>
      <c r="J395" s="3" t="s">
        <v>16</v>
      </c>
      <c r="K395" s="3" t="str">
        <f t="shared" si="12"/>
        <v>Wednesday</v>
      </c>
      <c r="L395" s="3" t="str">
        <f t="shared" si="13"/>
        <v>Late Evening</v>
      </c>
    </row>
    <row r="396" spans="1:12" x14ac:dyDescent="0.35">
      <c r="A396" s="3" t="s">
        <v>629</v>
      </c>
      <c r="B396" s="3" t="s">
        <v>22</v>
      </c>
      <c r="C396" s="6">
        <v>46128.34375</v>
      </c>
      <c r="D396" s="3" t="s">
        <v>50</v>
      </c>
      <c r="E396" s="3" t="s">
        <v>24</v>
      </c>
      <c r="F396" s="3" t="s">
        <v>54</v>
      </c>
      <c r="G396" s="3" t="s">
        <v>15</v>
      </c>
      <c r="H396" s="3">
        <v>10</v>
      </c>
      <c r="I396" s="3">
        <v>500</v>
      </c>
      <c r="J396" s="3" t="s">
        <v>16</v>
      </c>
      <c r="K396" s="3" t="str">
        <f t="shared" si="12"/>
        <v>Thursday</v>
      </c>
      <c r="L396" s="3" t="str">
        <f t="shared" si="13"/>
        <v>Morning</v>
      </c>
    </row>
    <row r="397" spans="1:12" x14ac:dyDescent="0.35">
      <c r="A397" s="3" t="s">
        <v>630</v>
      </c>
      <c r="B397" s="3" t="s">
        <v>391</v>
      </c>
      <c r="C397" s="6">
        <v>46069.40625</v>
      </c>
      <c r="D397" s="3" t="s">
        <v>23</v>
      </c>
      <c r="E397" s="3" t="s">
        <v>47</v>
      </c>
      <c r="F397" s="3" t="s">
        <v>14</v>
      </c>
      <c r="G397" s="3" t="s">
        <v>15</v>
      </c>
      <c r="H397" s="3">
        <v>24</v>
      </c>
      <c r="I397" s="3">
        <v>800</v>
      </c>
      <c r="J397" s="3" t="s">
        <v>26</v>
      </c>
      <c r="K397" s="3" t="str">
        <f t="shared" si="12"/>
        <v>Monday</v>
      </c>
      <c r="L397" s="3" t="str">
        <f t="shared" si="13"/>
        <v>Morning</v>
      </c>
    </row>
    <row r="398" spans="1:12" x14ac:dyDescent="0.35">
      <c r="A398" s="3" t="s">
        <v>631</v>
      </c>
      <c r="B398" s="3" t="s">
        <v>255</v>
      </c>
      <c r="C398" s="6">
        <v>46076.427083333343</v>
      </c>
      <c r="D398" s="3" t="s">
        <v>46</v>
      </c>
      <c r="E398" s="3" t="s">
        <v>47</v>
      </c>
      <c r="F398" s="3" t="s">
        <v>54</v>
      </c>
      <c r="G398" s="3" t="s">
        <v>15</v>
      </c>
      <c r="H398" s="3">
        <v>26</v>
      </c>
      <c r="I398" s="3">
        <v>700</v>
      </c>
      <c r="J398" s="3" t="s">
        <v>16</v>
      </c>
      <c r="K398" s="3" t="str">
        <f t="shared" si="12"/>
        <v>Monday</v>
      </c>
      <c r="L398" s="3" t="str">
        <f t="shared" si="13"/>
        <v>Morning</v>
      </c>
    </row>
    <row r="399" spans="1:12" x14ac:dyDescent="0.35">
      <c r="A399" s="3" t="s">
        <v>632</v>
      </c>
      <c r="B399" s="3" t="s">
        <v>152</v>
      </c>
      <c r="C399" s="6">
        <v>46145.625</v>
      </c>
      <c r="D399" s="3" t="s">
        <v>46</v>
      </c>
      <c r="E399" s="3" t="s">
        <v>37</v>
      </c>
      <c r="F399" s="3" t="s">
        <v>25</v>
      </c>
      <c r="G399" s="3" t="s">
        <v>15</v>
      </c>
      <c r="H399" s="3">
        <v>42</v>
      </c>
      <c r="I399" s="3">
        <v>600</v>
      </c>
      <c r="J399" s="3" t="s">
        <v>26</v>
      </c>
      <c r="K399" s="3" t="str">
        <f t="shared" si="12"/>
        <v>Sunday</v>
      </c>
      <c r="L399" s="3" t="str">
        <f t="shared" si="13"/>
        <v>Evening</v>
      </c>
    </row>
    <row r="400" spans="1:12" x14ac:dyDescent="0.35">
      <c r="A400" s="3" t="s">
        <v>633</v>
      </c>
      <c r="B400" s="3" t="s">
        <v>269</v>
      </c>
      <c r="C400" s="6">
        <v>46027.34375</v>
      </c>
      <c r="D400" s="3" t="s">
        <v>99</v>
      </c>
      <c r="E400" s="3" t="s">
        <v>47</v>
      </c>
      <c r="F400" s="3" t="s">
        <v>19</v>
      </c>
      <c r="G400" s="3" t="s">
        <v>15</v>
      </c>
      <c r="H400" s="3">
        <v>5</v>
      </c>
      <c r="I400" s="3">
        <v>600</v>
      </c>
      <c r="J400" s="3" t="s">
        <v>26</v>
      </c>
      <c r="K400" s="3" t="str">
        <f t="shared" si="12"/>
        <v>Monday</v>
      </c>
      <c r="L400" s="3" t="str">
        <f t="shared" si="13"/>
        <v>Morning</v>
      </c>
    </row>
    <row r="401" spans="1:12" x14ac:dyDescent="0.35">
      <c r="A401" s="3" t="s">
        <v>634</v>
      </c>
      <c r="B401" s="3" t="s">
        <v>276</v>
      </c>
      <c r="C401" s="6">
        <v>46065.375</v>
      </c>
      <c r="D401" s="3" t="s">
        <v>46</v>
      </c>
      <c r="E401" s="3" t="s">
        <v>24</v>
      </c>
      <c r="F401" s="3" t="s">
        <v>25</v>
      </c>
      <c r="G401" s="3" t="s">
        <v>15</v>
      </c>
      <c r="H401" s="3">
        <v>38</v>
      </c>
      <c r="I401" s="3">
        <v>700</v>
      </c>
      <c r="J401" s="3" t="s">
        <v>16</v>
      </c>
      <c r="K401" s="3" t="str">
        <f t="shared" si="12"/>
        <v>Thursday</v>
      </c>
      <c r="L401" s="3" t="str">
        <f t="shared" si="13"/>
        <v>Morning</v>
      </c>
    </row>
    <row r="402" spans="1:12" x14ac:dyDescent="0.35">
      <c r="A402" s="3" t="s">
        <v>635</v>
      </c>
      <c r="B402" s="3" t="s">
        <v>448</v>
      </c>
      <c r="C402" s="6">
        <v>46148.59375</v>
      </c>
      <c r="D402" s="3" t="s">
        <v>23</v>
      </c>
      <c r="E402" s="3" t="s">
        <v>24</v>
      </c>
      <c r="F402" s="3" t="s">
        <v>19</v>
      </c>
      <c r="G402" s="3" t="s">
        <v>15</v>
      </c>
      <c r="H402" s="3">
        <v>30</v>
      </c>
      <c r="I402" s="3">
        <v>900</v>
      </c>
      <c r="J402" s="3" t="s">
        <v>26</v>
      </c>
      <c r="K402" s="3" t="str">
        <f t="shared" si="12"/>
        <v>Wednesday</v>
      </c>
      <c r="L402" s="3" t="str">
        <f t="shared" si="13"/>
        <v>Evening</v>
      </c>
    </row>
    <row r="403" spans="1:12" x14ac:dyDescent="0.35">
      <c r="A403" s="3" t="s">
        <v>636</v>
      </c>
      <c r="B403" s="3" t="s">
        <v>637</v>
      </c>
      <c r="C403" s="6">
        <v>46028.760416666657</v>
      </c>
      <c r="D403" s="3" t="s">
        <v>53</v>
      </c>
      <c r="E403" s="3" t="s">
        <v>37</v>
      </c>
      <c r="F403" s="3" t="s">
        <v>14</v>
      </c>
      <c r="G403" s="3" t="s">
        <v>15</v>
      </c>
      <c r="H403" s="3">
        <v>18</v>
      </c>
      <c r="I403" s="3">
        <v>800</v>
      </c>
      <c r="J403" s="3" t="s">
        <v>16</v>
      </c>
      <c r="K403" s="3" t="str">
        <f t="shared" si="12"/>
        <v>Tuesday</v>
      </c>
      <c r="L403" s="3" t="str">
        <f t="shared" si="13"/>
        <v>Late Evening</v>
      </c>
    </row>
    <row r="404" spans="1:12" x14ac:dyDescent="0.35">
      <c r="A404" s="3" t="s">
        <v>638</v>
      </c>
      <c r="B404" s="3" t="s">
        <v>372</v>
      </c>
      <c r="C404" s="6">
        <v>46175.333333333343</v>
      </c>
      <c r="D404" s="3" t="s">
        <v>99</v>
      </c>
      <c r="E404" s="3" t="s">
        <v>47</v>
      </c>
      <c r="F404" s="3" t="s">
        <v>14</v>
      </c>
      <c r="G404" s="3" t="s">
        <v>57</v>
      </c>
      <c r="H404" s="3">
        <v>0</v>
      </c>
      <c r="I404" s="3">
        <v>600</v>
      </c>
      <c r="J404" s="3" t="s">
        <v>16</v>
      </c>
      <c r="K404" s="3" t="str">
        <f t="shared" si="12"/>
        <v>Tuesday</v>
      </c>
      <c r="L404" s="3" t="str">
        <f t="shared" si="13"/>
        <v>Morning</v>
      </c>
    </row>
    <row r="405" spans="1:12" x14ac:dyDescent="0.35">
      <c r="A405" s="3" t="s">
        <v>639</v>
      </c>
      <c r="B405" s="3" t="s">
        <v>640</v>
      </c>
      <c r="C405" s="6">
        <v>46054.729166666657</v>
      </c>
      <c r="D405" s="3" t="s">
        <v>46</v>
      </c>
      <c r="E405" s="3" t="s">
        <v>47</v>
      </c>
      <c r="F405" s="3" t="s">
        <v>14</v>
      </c>
      <c r="G405" s="3" t="s">
        <v>15</v>
      </c>
      <c r="H405" s="3">
        <v>30</v>
      </c>
      <c r="I405" s="3">
        <v>700</v>
      </c>
      <c r="J405" s="3" t="s">
        <v>16</v>
      </c>
      <c r="K405" s="3" t="str">
        <f t="shared" si="12"/>
        <v>Sunday</v>
      </c>
      <c r="L405" s="3" t="str">
        <f t="shared" si="13"/>
        <v>Late Evening</v>
      </c>
    </row>
    <row r="406" spans="1:12" x14ac:dyDescent="0.35">
      <c r="A406" s="3" t="s">
        <v>641</v>
      </c>
      <c r="B406" s="3" t="s">
        <v>191</v>
      </c>
      <c r="C406" s="6">
        <v>46192.729166666657</v>
      </c>
      <c r="D406" s="3" t="s">
        <v>79</v>
      </c>
      <c r="E406" s="3" t="s">
        <v>13</v>
      </c>
      <c r="F406" s="3" t="s">
        <v>19</v>
      </c>
      <c r="G406" s="3" t="s">
        <v>20</v>
      </c>
      <c r="H406" s="3">
        <v>0</v>
      </c>
      <c r="I406" s="3">
        <v>600</v>
      </c>
      <c r="J406" s="3" t="s">
        <v>16</v>
      </c>
      <c r="K406" s="3" t="str">
        <f t="shared" si="12"/>
        <v>Friday</v>
      </c>
      <c r="L406" s="3" t="str">
        <f t="shared" si="13"/>
        <v>Late Evening</v>
      </c>
    </row>
    <row r="407" spans="1:12" x14ac:dyDescent="0.35">
      <c r="A407" s="3" t="s">
        <v>642</v>
      </c>
      <c r="B407" s="3" t="s">
        <v>181</v>
      </c>
      <c r="C407" s="6">
        <v>46095.375</v>
      </c>
      <c r="D407" s="3" t="s">
        <v>12</v>
      </c>
      <c r="E407" s="3" t="s">
        <v>41</v>
      </c>
      <c r="F407" s="3" t="s">
        <v>19</v>
      </c>
      <c r="G407" s="3" t="s">
        <v>15</v>
      </c>
      <c r="H407" s="3">
        <v>37</v>
      </c>
      <c r="I407" s="3">
        <v>1000</v>
      </c>
      <c r="J407" s="3" t="s">
        <v>16</v>
      </c>
      <c r="K407" s="3" t="str">
        <f t="shared" si="12"/>
        <v>Saturday</v>
      </c>
      <c r="L407" s="3" t="str">
        <f t="shared" si="13"/>
        <v>Morning</v>
      </c>
    </row>
    <row r="408" spans="1:12" x14ac:dyDescent="0.35">
      <c r="A408" s="3" t="s">
        <v>643</v>
      </c>
      <c r="B408" s="3" t="s">
        <v>644</v>
      </c>
      <c r="C408" s="6">
        <v>46114.645833333343</v>
      </c>
      <c r="D408" s="3" t="s">
        <v>40</v>
      </c>
      <c r="E408" s="3" t="s">
        <v>47</v>
      </c>
      <c r="F408" s="3" t="s">
        <v>54</v>
      </c>
      <c r="G408" s="3" t="s">
        <v>15</v>
      </c>
      <c r="H408" s="3">
        <v>20</v>
      </c>
      <c r="I408" s="3">
        <v>500</v>
      </c>
      <c r="J408" s="3" t="s">
        <v>26</v>
      </c>
      <c r="K408" s="3" t="str">
        <f t="shared" si="12"/>
        <v>Thursday</v>
      </c>
      <c r="L408" s="3" t="str">
        <f t="shared" si="13"/>
        <v>Evening</v>
      </c>
    </row>
    <row r="409" spans="1:12" x14ac:dyDescent="0.35">
      <c r="A409" s="3" t="s">
        <v>645</v>
      </c>
      <c r="B409" s="3" t="s">
        <v>646</v>
      </c>
      <c r="C409" s="6">
        <v>46083.333333333343</v>
      </c>
      <c r="D409" s="3" t="s">
        <v>46</v>
      </c>
      <c r="E409" s="3" t="s">
        <v>24</v>
      </c>
      <c r="F409" s="3" t="s">
        <v>14</v>
      </c>
      <c r="G409" s="3" t="s">
        <v>57</v>
      </c>
      <c r="H409" s="3">
        <v>0</v>
      </c>
      <c r="I409" s="3">
        <v>700</v>
      </c>
      <c r="J409" s="3" t="s">
        <v>16</v>
      </c>
      <c r="K409" s="3" t="str">
        <f t="shared" si="12"/>
        <v>Monday</v>
      </c>
      <c r="L409" s="3" t="str">
        <f t="shared" si="13"/>
        <v>Morning</v>
      </c>
    </row>
    <row r="410" spans="1:12" x14ac:dyDescent="0.35">
      <c r="A410" s="3" t="s">
        <v>647</v>
      </c>
      <c r="B410" s="3" t="s">
        <v>276</v>
      </c>
      <c r="C410" s="6">
        <v>46153.375</v>
      </c>
      <c r="D410" s="3" t="s">
        <v>53</v>
      </c>
      <c r="E410" s="3" t="s">
        <v>47</v>
      </c>
      <c r="F410" s="3" t="s">
        <v>25</v>
      </c>
      <c r="G410" s="3" t="s">
        <v>15</v>
      </c>
      <c r="H410" s="3">
        <v>30</v>
      </c>
      <c r="I410" s="3">
        <v>800</v>
      </c>
      <c r="J410" s="3" t="s">
        <v>16</v>
      </c>
      <c r="K410" s="3" t="str">
        <f t="shared" si="12"/>
        <v>Monday</v>
      </c>
      <c r="L410" s="3" t="str">
        <f t="shared" si="13"/>
        <v>Morning</v>
      </c>
    </row>
    <row r="411" spans="1:12" x14ac:dyDescent="0.35">
      <c r="A411" s="3" t="s">
        <v>648</v>
      </c>
      <c r="B411" s="3" t="s">
        <v>544</v>
      </c>
      <c r="C411" s="6">
        <v>46048.416666666657</v>
      </c>
      <c r="D411" s="3" t="s">
        <v>79</v>
      </c>
      <c r="E411" s="3" t="s">
        <v>13</v>
      </c>
      <c r="F411" s="3" t="s">
        <v>25</v>
      </c>
      <c r="G411" s="3" t="s">
        <v>15</v>
      </c>
      <c r="H411" s="3">
        <v>20</v>
      </c>
      <c r="I411" s="3">
        <v>700</v>
      </c>
      <c r="J411" s="3" t="s">
        <v>16</v>
      </c>
      <c r="K411" s="3" t="str">
        <f t="shared" si="12"/>
        <v>Monday</v>
      </c>
      <c r="L411" s="3" t="str">
        <f t="shared" si="13"/>
        <v>Morning</v>
      </c>
    </row>
    <row r="412" spans="1:12" x14ac:dyDescent="0.35">
      <c r="A412" s="3" t="s">
        <v>649</v>
      </c>
      <c r="B412" s="3" t="s">
        <v>650</v>
      </c>
      <c r="C412" s="6">
        <v>46034.34375</v>
      </c>
      <c r="D412" s="3" t="s">
        <v>12</v>
      </c>
      <c r="E412" s="3" t="s">
        <v>41</v>
      </c>
      <c r="F412" s="3" t="s">
        <v>25</v>
      </c>
      <c r="G412" s="3" t="s">
        <v>57</v>
      </c>
      <c r="H412" s="3">
        <v>0</v>
      </c>
      <c r="I412" s="3">
        <v>1000</v>
      </c>
      <c r="J412" s="3" t="s">
        <v>16</v>
      </c>
      <c r="K412" s="3" t="str">
        <f t="shared" si="12"/>
        <v>Monday</v>
      </c>
      <c r="L412" s="3" t="str">
        <f t="shared" si="13"/>
        <v>Morning</v>
      </c>
    </row>
    <row r="413" spans="1:12" x14ac:dyDescent="0.35">
      <c r="A413" s="3" t="s">
        <v>651</v>
      </c>
      <c r="B413" s="3" t="s">
        <v>112</v>
      </c>
      <c r="C413" s="6">
        <v>46046.604166666657</v>
      </c>
      <c r="D413" s="3" t="s">
        <v>50</v>
      </c>
      <c r="E413" s="3" t="s">
        <v>37</v>
      </c>
      <c r="F413" s="3" t="s">
        <v>54</v>
      </c>
      <c r="G413" s="3" t="s">
        <v>15</v>
      </c>
      <c r="H413" s="3">
        <v>29</v>
      </c>
      <c r="I413" s="3">
        <v>500</v>
      </c>
      <c r="J413" s="3" t="s">
        <v>16</v>
      </c>
      <c r="K413" s="3" t="str">
        <f t="shared" si="12"/>
        <v>Saturday</v>
      </c>
      <c r="L413" s="3" t="str">
        <f t="shared" si="13"/>
        <v>Evening</v>
      </c>
    </row>
    <row r="414" spans="1:12" x14ac:dyDescent="0.35">
      <c r="A414" s="3" t="s">
        <v>652</v>
      </c>
      <c r="B414" s="3" t="s">
        <v>56</v>
      </c>
      <c r="C414" s="6">
        <v>46199.697916666657</v>
      </c>
      <c r="D414" s="3" t="s">
        <v>36</v>
      </c>
      <c r="E414" s="3" t="s">
        <v>24</v>
      </c>
      <c r="F414" s="3" t="s">
        <v>19</v>
      </c>
      <c r="G414" s="3" t="s">
        <v>57</v>
      </c>
      <c r="H414" s="3">
        <v>0</v>
      </c>
      <c r="I414" s="3">
        <v>600</v>
      </c>
      <c r="J414" s="3" t="s">
        <v>26</v>
      </c>
      <c r="K414" s="3" t="str">
        <f t="shared" si="12"/>
        <v>Friday</v>
      </c>
      <c r="L414" s="3" t="str">
        <f t="shared" si="13"/>
        <v>Evening</v>
      </c>
    </row>
    <row r="415" spans="1:12" x14ac:dyDescent="0.35">
      <c r="A415" s="3" t="s">
        <v>653</v>
      </c>
      <c r="B415" s="3" t="s">
        <v>624</v>
      </c>
      <c r="C415" s="6">
        <v>46129.78125</v>
      </c>
      <c r="D415" s="3" t="s">
        <v>53</v>
      </c>
      <c r="E415" s="3" t="s">
        <v>41</v>
      </c>
      <c r="F415" s="3" t="s">
        <v>54</v>
      </c>
      <c r="G415" s="3" t="s">
        <v>20</v>
      </c>
      <c r="H415" s="3">
        <v>0</v>
      </c>
      <c r="I415" s="3">
        <v>900</v>
      </c>
      <c r="J415" s="3" t="s">
        <v>16</v>
      </c>
      <c r="K415" s="3" t="str">
        <f t="shared" si="12"/>
        <v>Friday</v>
      </c>
      <c r="L415" s="3" t="str">
        <f t="shared" si="13"/>
        <v>Late Evening</v>
      </c>
    </row>
    <row r="416" spans="1:12" x14ac:dyDescent="0.35">
      <c r="A416" s="3" t="s">
        <v>654</v>
      </c>
      <c r="B416" s="3" t="s">
        <v>588</v>
      </c>
      <c r="C416" s="6">
        <v>46198.447916666657</v>
      </c>
      <c r="D416" s="3" t="s">
        <v>40</v>
      </c>
      <c r="E416" s="3" t="s">
        <v>13</v>
      </c>
      <c r="F416" s="3" t="s">
        <v>54</v>
      </c>
      <c r="G416" s="3" t="s">
        <v>15</v>
      </c>
      <c r="H416" s="3">
        <v>35</v>
      </c>
      <c r="I416" s="3">
        <v>500</v>
      </c>
      <c r="J416" s="3" t="s">
        <v>16</v>
      </c>
      <c r="K416" s="3" t="str">
        <f t="shared" si="12"/>
        <v>Thursday</v>
      </c>
      <c r="L416" s="3" t="str">
        <f t="shared" si="13"/>
        <v>Morning</v>
      </c>
    </row>
    <row r="417" spans="1:12" x14ac:dyDescent="0.35">
      <c r="A417" s="3" t="s">
        <v>655</v>
      </c>
      <c r="B417" s="3" t="s">
        <v>134</v>
      </c>
      <c r="C417" s="6">
        <v>46089.583333333343</v>
      </c>
      <c r="D417" s="3" t="s">
        <v>12</v>
      </c>
      <c r="E417" s="3" t="s">
        <v>41</v>
      </c>
      <c r="F417" s="3" t="s">
        <v>19</v>
      </c>
      <c r="G417" s="3" t="s">
        <v>57</v>
      </c>
      <c r="H417" s="3">
        <v>0</v>
      </c>
      <c r="I417" s="3">
        <v>900</v>
      </c>
      <c r="J417" s="3" t="s">
        <v>16</v>
      </c>
      <c r="K417" s="3" t="str">
        <f t="shared" si="12"/>
        <v>Sunday</v>
      </c>
      <c r="L417" s="3" t="str">
        <f t="shared" si="13"/>
        <v>Evening</v>
      </c>
    </row>
    <row r="418" spans="1:12" x14ac:dyDescent="0.35">
      <c r="A418" s="3" t="s">
        <v>656</v>
      </c>
      <c r="B418" s="3" t="s">
        <v>657</v>
      </c>
      <c r="C418" s="6">
        <v>46133.489583333343</v>
      </c>
      <c r="D418" s="3" t="s">
        <v>40</v>
      </c>
      <c r="E418" s="3" t="s">
        <v>24</v>
      </c>
      <c r="F418" s="3" t="s">
        <v>14</v>
      </c>
      <c r="G418" s="3" t="s">
        <v>15</v>
      </c>
      <c r="H418" s="3">
        <v>47</v>
      </c>
      <c r="I418" s="3">
        <v>600</v>
      </c>
      <c r="J418" s="3" t="s">
        <v>26</v>
      </c>
      <c r="K418" s="3" t="str">
        <f t="shared" si="12"/>
        <v>Tuesday</v>
      </c>
      <c r="L418" s="3" t="str">
        <f t="shared" si="13"/>
        <v>Afternoon</v>
      </c>
    </row>
    <row r="419" spans="1:12" x14ac:dyDescent="0.35">
      <c r="A419" s="3" t="s">
        <v>658</v>
      </c>
      <c r="B419" s="3" t="s">
        <v>316</v>
      </c>
      <c r="C419" s="6">
        <v>46149.416666666657</v>
      </c>
      <c r="D419" s="3" t="s">
        <v>23</v>
      </c>
      <c r="E419" s="3" t="s">
        <v>13</v>
      </c>
      <c r="F419" s="3" t="s">
        <v>25</v>
      </c>
      <c r="G419" s="3" t="s">
        <v>15</v>
      </c>
      <c r="H419" s="3">
        <v>15</v>
      </c>
      <c r="I419" s="3">
        <v>800</v>
      </c>
      <c r="J419" s="3" t="s">
        <v>16</v>
      </c>
      <c r="K419" s="3" t="str">
        <f t="shared" si="12"/>
        <v>Thursday</v>
      </c>
      <c r="L419" s="3" t="str">
        <f t="shared" si="13"/>
        <v>Morning</v>
      </c>
    </row>
    <row r="420" spans="1:12" x14ac:dyDescent="0.35">
      <c r="A420" s="3" t="s">
        <v>659</v>
      </c>
      <c r="B420" s="3" t="s">
        <v>395</v>
      </c>
      <c r="C420" s="6">
        <v>46163.65625</v>
      </c>
      <c r="D420" s="3" t="s">
        <v>12</v>
      </c>
      <c r="E420" s="3" t="s">
        <v>13</v>
      </c>
      <c r="F420" s="3" t="s">
        <v>54</v>
      </c>
      <c r="G420" s="3" t="s">
        <v>15</v>
      </c>
      <c r="H420" s="3">
        <v>60</v>
      </c>
      <c r="I420" s="3">
        <v>1000</v>
      </c>
      <c r="J420" s="3" t="s">
        <v>16</v>
      </c>
      <c r="K420" s="3" t="str">
        <f t="shared" si="12"/>
        <v>Thursday</v>
      </c>
      <c r="L420" s="3" t="str">
        <f t="shared" si="13"/>
        <v>Evening</v>
      </c>
    </row>
    <row r="421" spans="1:12" x14ac:dyDescent="0.35">
      <c r="A421" s="3" t="s">
        <v>661</v>
      </c>
      <c r="B421" s="3" t="s">
        <v>640</v>
      </c>
      <c r="C421" s="6">
        <v>46046.770833333343</v>
      </c>
      <c r="D421" s="3" t="s">
        <v>12</v>
      </c>
      <c r="E421" s="3" t="s">
        <v>37</v>
      </c>
      <c r="F421" s="3" t="s">
        <v>54</v>
      </c>
      <c r="G421" s="3" t="s">
        <v>20</v>
      </c>
      <c r="H421" s="3">
        <v>0</v>
      </c>
      <c r="I421" s="3">
        <v>900</v>
      </c>
      <c r="J421" s="3" t="s">
        <v>16</v>
      </c>
      <c r="K421" s="3" t="str">
        <f t="shared" si="12"/>
        <v>Saturday</v>
      </c>
      <c r="L421" s="3" t="str">
        <f t="shared" si="13"/>
        <v>Late Evening</v>
      </c>
    </row>
    <row r="422" spans="1:12" x14ac:dyDescent="0.35">
      <c r="A422" s="3" t="s">
        <v>662</v>
      </c>
      <c r="B422" s="3" t="s">
        <v>663</v>
      </c>
      <c r="C422" s="6">
        <v>46080.6875</v>
      </c>
      <c r="D422" s="3" t="s">
        <v>99</v>
      </c>
      <c r="E422" s="3" t="s">
        <v>47</v>
      </c>
      <c r="F422" s="3" t="s">
        <v>54</v>
      </c>
      <c r="G422" s="3" t="s">
        <v>20</v>
      </c>
      <c r="H422" s="3">
        <v>0</v>
      </c>
      <c r="I422" s="3">
        <v>500</v>
      </c>
      <c r="J422" s="3" t="s">
        <v>16</v>
      </c>
      <c r="K422" s="3" t="str">
        <f t="shared" si="12"/>
        <v>Friday</v>
      </c>
      <c r="L422" s="3" t="str">
        <f t="shared" si="13"/>
        <v>Evening</v>
      </c>
    </row>
    <row r="423" spans="1:12" x14ac:dyDescent="0.35">
      <c r="A423" s="3" t="s">
        <v>664</v>
      </c>
      <c r="B423" s="3" t="s">
        <v>290</v>
      </c>
      <c r="C423" s="6">
        <v>46047.458333333343</v>
      </c>
      <c r="D423" s="3" t="s">
        <v>79</v>
      </c>
      <c r="E423" s="3" t="s">
        <v>13</v>
      </c>
      <c r="F423" s="3" t="s">
        <v>25</v>
      </c>
      <c r="G423" s="3" t="s">
        <v>15</v>
      </c>
      <c r="H423" s="3">
        <v>23</v>
      </c>
      <c r="I423" s="3">
        <v>700</v>
      </c>
      <c r="J423" s="3" t="s">
        <v>16</v>
      </c>
      <c r="K423" s="3" t="str">
        <f t="shared" si="12"/>
        <v>Sunday</v>
      </c>
      <c r="L423" s="3" t="str">
        <f t="shared" si="13"/>
        <v>Afternoon</v>
      </c>
    </row>
    <row r="424" spans="1:12" x14ac:dyDescent="0.35">
      <c r="A424" s="3" t="s">
        <v>665</v>
      </c>
      <c r="B424" s="3" t="s">
        <v>370</v>
      </c>
      <c r="C424" s="6">
        <v>46065.677083333343</v>
      </c>
      <c r="D424" s="3" t="s">
        <v>12</v>
      </c>
      <c r="E424" s="3" t="s">
        <v>24</v>
      </c>
      <c r="F424" s="3" t="s">
        <v>25</v>
      </c>
      <c r="G424" s="3" t="s">
        <v>57</v>
      </c>
      <c r="H424" s="3">
        <v>0</v>
      </c>
      <c r="I424" s="3">
        <v>1100</v>
      </c>
      <c r="J424" s="3" t="s">
        <v>26</v>
      </c>
      <c r="K424" s="3" t="str">
        <f t="shared" si="12"/>
        <v>Thursday</v>
      </c>
      <c r="L424" s="3" t="str">
        <f t="shared" si="13"/>
        <v>Evening</v>
      </c>
    </row>
    <row r="425" spans="1:12" x14ac:dyDescent="0.35">
      <c r="A425" s="3" t="s">
        <v>666</v>
      </c>
      <c r="B425" s="3" t="s">
        <v>370</v>
      </c>
      <c r="C425" s="6">
        <v>46123.489583333343</v>
      </c>
      <c r="D425" s="3" t="s">
        <v>53</v>
      </c>
      <c r="E425" s="3" t="s">
        <v>41</v>
      </c>
      <c r="F425" s="3" t="s">
        <v>54</v>
      </c>
      <c r="G425" s="3" t="s">
        <v>15</v>
      </c>
      <c r="H425" s="3">
        <v>37</v>
      </c>
      <c r="I425" s="3">
        <v>800</v>
      </c>
      <c r="J425" s="3" t="s">
        <v>26</v>
      </c>
      <c r="K425" s="3" t="str">
        <f t="shared" si="12"/>
        <v>Saturday</v>
      </c>
      <c r="L425" s="3" t="str">
        <f t="shared" si="13"/>
        <v>Afternoon</v>
      </c>
    </row>
    <row r="426" spans="1:12" x14ac:dyDescent="0.35">
      <c r="A426" s="3" t="s">
        <v>667</v>
      </c>
      <c r="B426" s="3" t="s">
        <v>550</v>
      </c>
      <c r="C426" s="6">
        <v>46138.677083333343</v>
      </c>
      <c r="D426" s="3" t="s">
        <v>40</v>
      </c>
      <c r="E426" s="3" t="s">
        <v>41</v>
      </c>
      <c r="F426" s="3" t="s">
        <v>14</v>
      </c>
      <c r="G426" s="3" t="s">
        <v>15</v>
      </c>
      <c r="H426" s="3">
        <v>31</v>
      </c>
      <c r="I426" s="3">
        <v>500</v>
      </c>
      <c r="J426" s="3" t="s">
        <v>16</v>
      </c>
      <c r="K426" s="3" t="str">
        <f t="shared" si="12"/>
        <v>Sunday</v>
      </c>
      <c r="L426" s="3" t="str">
        <f t="shared" si="13"/>
        <v>Evening</v>
      </c>
    </row>
    <row r="427" spans="1:12" x14ac:dyDescent="0.35">
      <c r="A427" s="3" t="s">
        <v>668</v>
      </c>
      <c r="B427" s="3" t="s">
        <v>660</v>
      </c>
      <c r="C427" s="6">
        <v>46153.427083333343</v>
      </c>
      <c r="D427" s="3" t="s">
        <v>50</v>
      </c>
      <c r="E427" s="3" t="s">
        <v>41</v>
      </c>
      <c r="F427" s="3" t="s">
        <v>54</v>
      </c>
      <c r="G427" s="3" t="s">
        <v>57</v>
      </c>
      <c r="H427" s="3">
        <v>0</v>
      </c>
      <c r="I427" s="3">
        <v>500</v>
      </c>
      <c r="J427" s="3" t="s">
        <v>16</v>
      </c>
      <c r="K427" s="3" t="str">
        <f t="shared" si="12"/>
        <v>Monday</v>
      </c>
      <c r="L427" s="3" t="str">
        <f t="shared" si="13"/>
        <v>Morning</v>
      </c>
    </row>
    <row r="428" spans="1:12" x14ac:dyDescent="0.35">
      <c r="A428" s="3" t="s">
        <v>669</v>
      </c>
      <c r="B428" s="3" t="s">
        <v>670</v>
      </c>
      <c r="C428" s="6">
        <v>46130.760416666657</v>
      </c>
      <c r="D428" s="3" t="s">
        <v>50</v>
      </c>
      <c r="E428" s="3" t="s">
        <v>47</v>
      </c>
      <c r="F428" s="3" t="s">
        <v>25</v>
      </c>
      <c r="G428" s="3" t="s">
        <v>15</v>
      </c>
      <c r="H428" s="3">
        <v>20</v>
      </c>
      <c r="I428" s="3">
        <v>600</v>
      </c>
      <c r="J428" s="3" t="s">
        <v>16</v>
      </c>
      <c r="K428" s="3" t="str">
        <f t="shared" si="12"/>
        <v>Saturday</v>
      </c>
      <c r="L428" s="3" t="str">
        <f t="shared" si="13"/>
        <v>Late Evening</v>
      </c>
    </row>
    <row r="429" spans="1:12" x14ac:dyDescent="0.35">
      <c r="A429" s="3" t="s">
        <v>671</v>
      </c>
      <c r="B429" s="3" t="s">
        <v>286</v>
      </c>
      <c r="C429" s="6">
        <v>46058.645833333343</v>
      </c>
      <c r="D429" s="3" t="s">
        <v>79</v>
      </c>
      <c r="E429" s="3" t="s">
        <v>24</v>
      </c>
      <c r="F429" s="3" t="s">
        <v>25</v>
      </c>
      <c r="G429" s="3" t="s">
        <v>57</v>
      </c>
      <c r="H429" s="3">
        <v>0</v>
      </c>
      <c r="I429" s="3">
        <v>600</v>
      </c>
      <c r="J429" s="3" t="s">
        <v>26</v>
      </c>
      <c r="K429" s="3" t="str">
        <f t="shared" si="12"/>
        <v>Thursday</v>
      </c>
      <c r="L429" s="3" t="str">
        <f t="shared" si="13"/>
        <v>Evening</v>
      </c>
    </row>
    <row r="430" spans="1:12" x14ac:dyDescent="0.35">
      <c r="A430" s="3" t="s">
        <v>672</v>
      </c>
      <c r="B430" s="3" t="s">
        <v>288</v>
      </c>
      <c r="C430" s="6">
        <v>46182.520833333343</v>
      </c>
      <c r="D430" s="3" t="s">
        <v>53</v>
      </c>
      <c r="E430" s="3" t="s">
        <v>13</v>
      </c>
      <c r="F430" s="3" t="s">
        <v>19</v>
      </c>
      <c r="G430" s="3" t="s">
        <v>57</v>
      </c>
      <c r="H430" s="3">
        <v>0</v>
      </c>
      <c r="I430" s="3">
        <v>800</v>
      </c>
      <c r="J430" s="3" t="s">
        <v>16</v>
      </c>
      <c r="K430" s="3" t="str">
        <f t="shared" si="12"/>
        <v>Tuesday</v>
      </c>
      <c r="L430" s="3" t="str">
        <f t="shared" si="13"/>
        <v>Afternoon</v>
      </c>
    </row>
    <row r="431" spans="1:12" x14ac:dyDescent="0.35">
      <c r="A431" s="3" t="s">
        <v>673</v>
      </c>
      <c r="B431" s="3" t="s">
        <v>83</v>
      </c>
      <c r="C431" s="6">
        <v>46166.697916666657</v>
      </c>
      <c r="D431" s="3" t="s">
        <v>31</v>
      </c>
      <c r="E431" s="3" t="s">
        <v>41</v>
      </c>
      <c r="F431" s="3" t="s">
        <v>54</v>
      </c>
      <c r="G431" s="3" t="s">
        <v>57</v>
      </c>
      <c r="H431" s="3">
        <v>0</v>
      </c>
      <c r="I431" s="3">
        <v>900</v>
      </c>
      <c r="J431" s="3" t="s">
        <v>26</v>
      </c>
      <c r="K431" s="3" t="str">
        <f t="shared" si="12"/>
        <v>Sunday</v>
      </c>
      <c r="L431" s="3" t="str">
        <f t="shared" si="13"/>
        <v>Evening</v>
      </c>
    </row>
    <row r="432" spans="1:12" x14ac:dyDescent="0.35">
      <c r="A432" s="3" t="s">
        <v>674</v>
      </c>
      <c r="B432" s="3" t="s">
        <v>152</v>
      </c>
      <c r="C432" s="6">
        <v>46029.635416666657</v>
      </c>
      <c r="D432" s="3" t="s">
        <v>40</v>
      </c>
      <c r="E432" s="3" t="s">
        <v>37</v>
      </c>
      <c r="F432" s="3" t="s">
        <v>25</v>
      </c>
      <c r="G432" s="3" t="s">
        <v>15</v>
      </c>
      <c r="H432" s="3">
        <v>25</v>
      </c>
      <c r="I432" s="3">
        <v>500</v>
      </c>
      <c r="J432" s="3" t="s">
        <v>26</v>
      </c>
      <c r="K432" s="3" t="str">
        <f t="shared" si="12"/>
        <v>Wednesday</v>
      </c>
      <c r="L432" s="3" t="str">
        <f t="shared" si="13"/>
        <v>Evening</v>
      </c>
    </row>
    <row r="433" spans="1:12" x14ac:dyDescent="0.35">
      <c r="A433" s="3" t="s">
        <v>675</v>
      </c>
      <c r="B433" s="3" t="s">
        <v>350</v>
      </c>
      <c r="C433" s="6">
        <v>46060.354166666657</v>
      </c>
      <c r="D433" s="3" t="s">
        <v>36</v>
      </c>
      <c r="E433" s="3" t="s">
        <v>13</v>
      </c>
      <c r="F433" s="3" t="s">
        <v>25</v>
      </c>
      <c r="G433" s="3" t="s">
        <v>15</v>
      </c>
      <c r="H433" s="3">
        <v>16</v>
      </c>
      <c r="I433" s="3">
        <v>500</v>
      </c>
      <c r="J433" s="3" t="s">
        <v>16</v>
      </c>
      <c r="K433" s="3" t="str">
        <f t="shared" si="12"/>
        <v>Saturday</v>
      </c>
      <c r="L433" s="3" t="str">
        <f t="shared" si="13"/>
        <v>Morning</v>
      </c>
    </row>
    <row r="434" spans="1:12" x14ac:dyDescent="0.35">
      <c r="A434" s="3" t="s">
        <v>676</v>
      </c>
      <c r="B434" s="3" t="s">
        <v>468</v>
      </c>
      <c r="C434" s="6">
        <v>46188.739583333343</v>
      </c>
      <c r="D434" s="3" t="s">
        <v>12</v>
      </c>
      <c r="E434" s="3" t="s">
        <v>47</v>
      </c>
      <c r="F434" s="3" t="s">
        <v>25</v>
      </c>
      <c r="G434" s="3" t="s">
        <v>15</v>
      </c>
      <c r="H434" s="3">
        <v>27</v>
      </c>
      <c r="I434" s="3">
        <v>900</v>
      </c>
      <c r="J434" s="3" t="s">
        <v>26</v>
      </c>
      <c r="K434" s="3" t="str">
        <f t="shared" si="12"/>
        <v>Monday</v>
      </c>
      <c r="L434" s="3" t="str">
        <f t="shared" si="13"/>
        <v>Late Evening</v>
      </c>
    </row>
    <row r="435" spans="1:12" x14ac:dyDescent="0.35">
      <c r="A435" s="3" t="s">
        <v>677</v>
      </c>
      <c r="B435" s="3" t="s">
        <v>152</v>
      </c>
      <c r="C435" s="6">
        <v>46129.583333333343</v>
      </c>
      <c r="D435" s="3" t="s">
        <v>46</v>
      </c>
      <c r="E435" s="3" t="s">
        <v>37</v>
      </c>
      <c r="F435" s="3" t="s">
        <v>54</v>
      </c>
      <c r="G435" s="3" t="s">
        <v>15</v>
      </c>
      <c r="H435" s="3">
        <v>35</v>
      </c>
      <c r="I435" s="3">
        <v>700</v>
      </c>
      <c r="J435" s="3" t="s">
        <v>26</v>
      </c>
      <c r="K435" s="3" t="str">
        <f t="shared" si="12"/>
        <v>Friday</v>
      </c>
      <c r="L435" s="3" t="str">
        <f t="shared" si="13"/>
        <v>Evening</v>
      </c>
    </row>
    <row r="436" spans="1:12" x14ac:dyDescent="0.35">
      <c r="A436" s="3" t="s">
        <v>678</v>
      </c>
      <c r="B436" s="3" t="s">
        <v>679</v>
      </c>
      <c r="C436" s="6">
        <v>46072.53125</v>
      </c>
      <c r="D436" s="3" t="s">
        <v>99</v>
      </c>
      <c r="E436" s="3" t="s">
        <v>47</v>
      </c>
      <c r="F436" s="3" t="s">
        <v>19</v>
      </c>
      <c r="G436" s="3" t="s">
        <v>15</v>
      </c>
      <c r="H436" s="3">
        <v>26</v>
      </c>
      <c r="I436" s="3">
        <v>600</v>
      </c>
      <c r="J436" s="3" t="s">
        <v>26</v>
      </c>
      <c r="K436" s="3" t="str">
        <f t="shared" si="12"/>
        <v>Thursday</v>
      </c>
      <c r="L436" s="3" t="str">
        <f t="shared" si="13"/>
        <v>Afternoon</v>
      </c>
    </row>
    <row r="437" spans="1:12" x14ac:dyDescent="0.35">
      <c r="A437" s="3" t="s">
        <v>680</v>
      </c>
      <c r="B437" s="3" t="s">
        <v>627</v>
      </c>
      <c r="C437" s="6">
        <v>46132.520833333343</v>
      </c>
      <c r="D437" s="3" t="s">
        <v>79</v>
      </c>
      <c r="E437" s="3" t="s">
        <v>37</v>
      </c>
      <c r="F437" s="3" t="s">
        <v>25</v>
      </c>
      <c r="G437" s="3" t="s">
        <v>15</v>
      </c>
      <c r="H437" s="3">
        <v>16</v>
      </c>
      <c r="I437" s="3">
        <v>700</v>
      </c>
      <c r="J437" s="3" t="s">
        <v>26</v>
      </c>
      <c r="K437" s="3" t="str">
        <f t="shared" si="12"/>
        <v>Monday</v>
      </c>
      <c r="L437" s="3" t="str">
        <f t="shared" si="13"/>
        <v>Afternoon</v>
      </c>
    </row>
    <row r="438" spans="1:12" x14ac:dyDescent="0.35">
      <c r="A438" s="3" t="s">
        <v>681</v>
      </c>
      <c r="B438" s="3" t="s">
        <v>307</v>
      </c>
      <c r="C438" s="6">
        <v>46062.34375</v>
      </c>
      <c r="D438" s="3" t="s">
        <v>36</v>
      </c>
      <c r="E438" s="3" t="s">
        <v>41</v>
      </c>
      <c r="F438" s="3" t="s">
        <v>25</v>
      </c>
      <c r="G438" s="3" t="s">
        <v>15</v>
      </c>
      <c r="H438" s="3">
        <v>32</v>
      </c>
      <c r="I438" s="3">
        <v>500</v>
      </c>
      <c r="J438" s="3" t="s">
        <v>16</v>
      </c>
      <c r="K438" s="3" t="str">
        <f t="shared" si="12"/>
        <v>Monday</v>
      </c>
      <c r="L438" s="3" t="str">
        <f t="shared" si="13"/>
        <v>Morning</v>
      </c>
    </row>
    <row r="439" spans="1:12" x14ac:dyDescent="0.35">
      <c r="A439" s="3" t="s">
        <v>682</v>
      </c>
      <c r="B439" s="3" t="s">
        <v>117</v>
      </c>
      <c r="C439" s="6">
        <v>46041.59375</v>
      </c>
      <c r="D439" s="3" t="s">
        <v>50</v>
      </c>
      <c r="E439" s="3" t="s">
        <v>41</v>
      </c>
      <c r="F439" s="3" t="s">
        <v>19</v>
      </c>
      <c r="G439" s="3" t="s">
        <v>15</v>
      </c>
      <c r="H439" s="3">
        <v>31</v>
      </c>
      <c r="I439" s="3">
        <v>400</v>
      </c>
      <c r="J439" s="3" t="s">
        <v>16</v>
      </c>
      <c r="K439" s="3" t="str">
        <f t="shared" si="12"/>
        <v>Monday</v>
      </c>
      <c r="L439" s="3" t="str">
        <f t="shared" si="13"/>
        <v>Evening</v>
      </c>
    </row>
    <row r="440" spans="1:12" x14ac:dyDescent="0.35">
      <c r="A440" s="3" t="s">
        <v>683</v>
      </c>
      <c r="B440" s="3" t="s">
        <v>650</v>
      </c>
      <c r="C440" s="6">
        <v>46046.59375</v>
      </c>
      <c r="D440" s="3" t="s">
        <v>50</v>
      </c>
      <c r="E440" s="3" t="s">
        <v>24</v>
      </c>
      <c r="F440" s="3" t="s">
        <v>25</v>
      </c>
      <c r="G440" s="3" t="s">
        <v>15</v>
      </c>
      <c r="H440" s="3">
        <v>37</v>
      </c>
      <c r="I440" s="3">
        <v>500</v>
      </c>
      <c r="J440" s="3" t="s">
        <v>16</v>
      </c>
      <c r="K440" s="3" t="str">
        <f t="shared" si="12"/>
        <v>Saturday</v>
      </c>
      <c r="L440" s="3" t="str">
        <f t="shared" si="13"/>
        <v>Evening</v>
      </c>
    </row>
    <row r="441" spans="1:12" x14ac:dyDescent="0.35">
      <c r="A441" s="3" t="s">
        <v>684</v>
      </c>
      <c r="B441" s="3" t="s">
        <v>326</v>
      </c>
      <c r="C441" s="6">
        <v>46166.333333333343</v>
      </c>
      <c r="D441" s="3" t="s">
        <v>23</v>
      </c>
      <c r="E441" s="3" t="s">
        <v>13</v>
      </c>
      <c r="F441" s="3" t="s">
        <v>19</v>
      </c>
      <c r="G441" s="3" t="s">
        <v>57</v>
      </c>
      <c r="H441" s="3">
        <v>0</v>
      </c>
      <c r="I441" s="3">
        <v>800</v>
      </c>
      <c r="J441" s="3" t="s">
        <v>26</v>
      </c>
      <c r="K441" s="3" t="str">
        <f t="shared" si="12"/>
        <v>Sunday</v>
      </c>
      <c r="L441" s="3" t="str">
        <f t="shared" si="13"/>
        <v>Morning</v>
      </c>
    </row>
    <row r="442" spans="1:12" x14ac:dyDescent="0.35">
      <c r="A442" s="3" t="s">
        <v>685</v>
      </c>
      <c r="B442" s="3" t="s">
        <v>210</v>
      </c>
      <c r="C442" s="6">
        <v>46120.40625</v>
      </c>
      <c r="D442" s="3" t="s">
        <v>31</v>
      </c>
      <c r="E442" s="3" t="s">
        <v>41</v>
      </c>
      <c r="F442" s="3" t="s">
        <v>25</v>
      </c>
      <c r="G442" s="3" t="s">
        <v>15</v>
      </c>
      <c r="H442" s="3">
        <v>42</v>
      </c>
      <c r="I442" s="3">
        <v>900</v>
      </c>
      <c r="J442" s="3" t="s">
        <v>26</v>
      </c>
      <c r="K442" s="3" t="str">
        <f t="shared" si="12"/>
        <v>Wednesday</v>
      </c>
      <c r="L442" s="3" t="str">
        <f t="shared" si="13"/>
        <v>Morning</v>
      </c>
    </row>
    <row r="443" spans="1:12" x14ac:dyDescent="0.35">
      <c r="A443" s="3" t="s">
        <v>686</v>
      </c>
      <c r="B443" s="3" t="s">
        <v>30</v>
      </c>
      <c r="C443" s="6">
        <v>46154.739583333343</v>
      </c>
      <c r="D443" s="3" t="s">
        <v>50</v>
      </c>
      <c r="E443" s="3" t="s">
        <v>41</v>
      </c>
      <c r="F443" s="3" t="s">
        <v>19</v>
      </c>
      <c r="G443" s="3" t="s">
        <v>15</v>
      </c>
      <c r="H443" s="3">
        <v>18</v>
      </c>
      <c r="I443" s="3">
        <v>500</v>
      </c>
      <c r="J443" s="3" t="s">
        <v>16</v>
      </c>
      <c r="K443" s="3" t="str">
        <f t="shared" si="12"/>
        <v>Tuesday</v>
      </c>
      <c r="L443" s="3" t="str">
        <f t="shared" si="13"/>
        <v>Late Evening</v>
      </c>
    </row>
    <row r="444" spans="1:12" x14ac:dyDescent="0.35">
      <c r="A444" s="3" t="s">
        <v>687</v>
      </c>
      <c r="B444" s="3" t="s">
        <v>35</v>
      </c>
      <c r="C444" s="6">
        <v>46047.416666666657</v>
      </c>
      <c r="D444" s="3" t="s">
        <v>40</v>
      </c>
      <c r="E444" s="3" t="s">
        <v>13</v>
      </c>
      <c r="F444" s="3" t="s">
        <v>19</v>
      </c>
      <c r="G444" s="3" t="s">
        <v>57</v>
      </c>
      <c r="H444" s="3">
        <v>0</v>
      </c>
      <c r="I444" s="3">
        <v>500</v>
      </c>
      <c r="J444" s="3" t="s">
        <v>16</v>
      </c>
      <c r="K444" s="3" t="str">
        <f t="shared" si="12"/>
        <v>Sunday</v>
      </c>
      <c r="L444" s="3" t="str">
        <f t="shared" si="13"/>
        <v>Morning</v>
      </c>
    </row>
    <row r="445" spans="1:12" x14ac:dyDescent="0.35">
      <c r="A445" s="3" t="s">
        <v>688</v>
      </c>
      <c r="B445" s="3" t="s">
        <v>18</v>
      </c>
      <c r="C445" s="6">
        <v>46160.625</v>
      </c>
      <c r="D445" s="3" t="s">
        <v>12</v>
      </c>
      <c r="E445" s="3" t="s">
        <v>13</v>
      </c>
      <c r="F445" s="3" t="s">
        <v>54</v>
      </c>
      <c r="G445" s="3" t="s">
        <v>57</v>
      </c>
      <c r="H445" s="3">
        <v>0</v>
      </c>
      <c r="I445" s="3">
        <v>1000</v>
      </c>
      <c r="J445" s="3" t="s">
        <v>16</v>
      </c>
      <c r="K445" s="3" t="str">
        <f t="shared" si="12"/>
        <v>Monday</v>
      </c>
      <c r="L445" s="3" t="str">
        <f t="shared" si="13"/>
        <v>Evening</v>
      </c>
    </row>
    <row r="446" spans="1:12" x14ac:dyDescent="0.35">
      <c r="A446" s="3" t="s">
        <v>689</v>
      </c>
      <c r="B446" s="3" t="s">
        <v>179</v>
      </c>
      <c r="C446" s="6">
        <v>46041.34375</v>
      </c>
      <c r="D446" s="3" t="s">
        <v>12</v>
      </c>
      <c r="E446" s="3" t="s">
        <v>47</v>
      </c>
      <c r="F446" s="3" t="s">
        <v>19</v>
      </c>
      <c r="G446" s="3" t="s">
        <v>15</v>
      </c>
      <c r="H446" s="3">
        <v>28</v>
      </c>
      <c r="I446" s="3">
        <v>900</v>
      </c>
      <c r="J446" s="3" t="s">
        <v>16</v>
      </c>
      <c r="K446" s="3" t="str">
        <f t="shared" si="12"/>
        <v>Monday</v>
      </c>
      <c r="L446" s="3" t="str">
        <f t="shared" si="13"/>
        <v>Morning</v>
      </c>
    </row>
    <row r="447" spans="1:12" x14ac:dyDescent="0.35">
      <c r="A447" s="3" t="s">
        <v>690</v>
      </c>
      <c r="B447" s="3" t="s">
        <v>691</v>
      </c>
      <c r="C447" s="6">
        <v>46138.65625</v>
      </c>
      <c r="D447" s="3" t="s">
        <v>46</v>
      </c>
      <c r="E447" s="3" t="s">
        <v>41</v>
      </c>
      <c r="F447" s="3" t="s">
        <v>14</v>
      </c>
      <c r="G447" s="3" t="s">
        <v>15</v>
      </c>
      <c r="H447" s="3">
        <v>33</v>
      </c>
      <c r="I447" s="3">
        <v>700</v>
      </c>
      <c r="J447" s="3" t="s">
        <v>26</v>
      </c>
      <c r="K447" s="3" t="str">
        <f t="shared" si="12"/>
        <v>Sunday</v>
      </c>
      <c r="L447" s="3" t="str">
        <f t="shared" si="13"/>
        <v>Evening</v>
      </c>
    </row>
    <row r="448" spans="1:12" x14ac:dyDescent="0.35">
      <c r="A448" s="3" t="s">
        <v>692</v>
      </c>
      <c r="B448" s="3" t="s">
        <v>370</v>
      </c>
      <c r="C448" s="6">
        <v>46172.333333333343</v>
      </c>
      <c r="D448" s="3" t="s">
        <v>40</v>
      </c>
      <c r="E448" s="3" t="s">
        <v>41</v>
      </c>
      <c r="F448" s="3" t="s">
        <v>25</v>
      </c>
      <c r="G448" s="3" t="s">
        <v>15</v>
      </c>
      <c r="H448" s="3">
        <v>35</v>
      </c>
      <c r="I448" s="3">
        <v>400</v>
      </c>
      <c r="J448" s="3" t="s">
        <v>16</v>
      </c>
      <c r="K448" s="3" t="str">
        <f t="shared" si="12"/>
        <v>Saturday</v>
      </c>
      <c r="L448" s="3" t="str">
        <f t="shared" si="13"/>
        <v>Morning</v>
      </c>
    </row>
    <row r="449" spans="1:12" x14ac:dyDescent="0.35">
      <c r="A449" s="3" t="s">
        <v>693</v>
      </c>
      <c r="B449" s="3" t="s">
        <v>453</v>
      </c>
      <c r="C449" s="6">
        <v>46095.697916666657</v>
      </c>
      <c r="D449" s="3" t="s">
        <v>40</v>
      </c>
      <c r="E449" s="3" t="s">
        <v>24</v>
      </c>
      <c r="F449" s="3" t="s">
        <v>19</v>
      </c>
      <c r="G449" s="3" t="s">
        <v>15</v>
      </c>
      <c r="H449" s="3">
        <v>27</v>
      </c>
      <c r="I449" s="3">
        <v>500</v>
      </c>
      <c r="J449" s="3" t="s">
        <v>26</v>
      </c>
      <c r="K449" s="3" t="str">
        <f t="shared" si="12"/>
        <v>Saturday</v>
      </c>
      <c r="L449" s="3" t="str">
        <f t="shared" si="13"/>
        <v>Evening</v>
      </c>
    </row>
    <row r="450" spans="1:12" x14ac:dyDescent="0.35">
      <c r="A450" s="3" t="s">
        <v>694</v>
      </c>
      <c r="B450" s="3" t="s">
        <v>491</v>
      </c>
      <c r="C450" s="6">
        <v>46162.510416666657</v>
      </c>
      <c r="D450" s="3" t="s">
        <v>23</v>
      </c>
      <c r="E450" s="3" t="s">
        <v>13</v>
      </c>
      <c r="F450" s="3" t="s">
        <v>14</v>
      </c>
      <c r="G450" s="3" t="s">
        <v>15</v>
      </c>
      <c r="H450" s="3">
        <v>31</v>
      </c>
      <c r="I450" s="3">
        <v>800</v>
      </c>
      <c r="J450" s="3" t="s">
        <v>26</v>
      </c>
      <c r="K450" s="3" t="str">
        <f t="shared" si="12"/>
        <v>Wednesday</v>
      </c>
      <c r="L450" s="3" t="str">
        <f t="shared" si="13"/>
        <v>Afternoon</v>
      </c>
    </row>
    <row r="451" spans="1:12" x14ac:dyDescent="0.35">
      <c r="A451" s="3" t="s">
        <v>695</v>
      </c>
      <c r="B451" s="3" t="s">
        <v>282</v>
      </c>
      <c r="C451" s="6">
        <v>46024.78125</v>
      </c>
      <c r="D451" s="3" t="s">
        <v>12</v>
      </c>
      <c r="E451" s="3" t="s">
        <v>24</v>
      </c>
      <c r="F451" s="3" t="s">
        <v>14</v>
      </c>
      <c r="G451" s="3" t="s">
        <v>20</v>
      </c>
      <c r="H451" s="3">
        <v>0</v>
      </c>
      <c r="I451" s="3">
        <v>900</v>
      </c>
      <c r="J451" s="3" t="s">
        <v>16</v>
      </c>
      <c r="K451" s="3" t="str">
        <f t="shared" ref="K451:K498" si="14">TEXT(C451,"dddd")</f>
        <v>Friday</v>
      </c>
      <c r="L451" s="3" t="str">
        <f t="shared" ref="L451:L498" si="15">IF(HOUR(C451)&lt;11,"Morning",IF(HOUR(C451)&lt;14,"Afternoon",IF(HOUR(C451)&lt;17,"Evening","Late Evening")))</f>
        <v>Late Evening</v>
      </c>
    </row>
    <row r="452" spans="1:12" x14ac:dyDescent="0.35">
      <c r="A452" s="3" t="s">
        <v>696</v>
      </c>
      <c r="B452" s="3" t="s">
        <v>259</v>
      </c>
      <c r="C452" s="6">
        <v>46077.635416666657</v>
      </c>
      <c r="D452" s="3" t="s">
        <v>23</v>
      </c>
      <c r="E452" s="3" t="s">
        <v>13</v>
      </c>
      <c r="F452" s="3" t="s">
        <v>25</v>
      </c>
      <c r="G452" s="3" t="s">
        <v>15</v>
      </c>
      <c r="H452" s="3">
        <v>45</v>
      </c>
      <c r="I452" s="3">
        <v>800</v>
      </c>
      <c r="J452" s="3" t="s">
        <v>26</v>
      </c>
      <c r="K452" s="3" t="str">
        <f t="shared" si="14"/>
        <v>Tuesday</v>
      </c>
      <c r="L452" s="3" t="str">
        <f t="shared" si="15"/>
        <v>Evening</v>
      </c>
    </row>
    <row r="453" spans="1:12" x14ac:dyDescent="0.35">
      <c r="A453" s="3" t="s">
        <v>697</v>
      </c>
      <c r="B453" s="3" t="s">
        <v>167</v>
      </c>
      <c r="C453" s="6">
        <v>46194.75</v>
      </c>
      <c r="D453" s="3" t="s">
        <v>12</v>
      </c>
      <c r="E453" s="3" t="s">
        <v>13</v>
      </c>
      <c r="F453" s="3" t="s">
        <v>14</v>
      </c>
      <c r="G453" s="3" t="s">
        <v>20</v>
      </c>
      <c r="H453" s="3">
        <v>0</v>
      </c>
      <c r="I453" s="3">
        <v>1100</v>
      </c>
      <c r="J453" s="3" t="s">
        <v>16</v>
      </c>
      <c r="K453" s="3" t="str">
        <f t="shared" si="14"/>
        <v>Sunday</v>
      </c>
      <c r="L453" s="3" t="str">
        <f t="shared" si="15"/>
        <v>Late Evening</v>
      </c>
    </row>
    <row r="454" spans="1:12" x14ac:dyDescent="0.35">
      <c r="A454" s="3" t="s">
        <v>698</v>
      </c>
      <c r="B454" s="3" t="s">
        <v>699</v>
      </c>
      <c r="C454" s="6">
        <v>46048.489583333343</v>
      </c>
      <c r="D454" s="3" t="s">
        <v>31</v>
      </c>
      <c r="E454" s="3" t="s">
        <v>37</v>
      </c>
      <c r="F454" s="3" t="s">
        <v>19</v>
      </c>
      <c r="G454" s="3" t="s">
        <v>15</v>
      </c>
      <c r="H454" s="3">
        <v>27</v>
      </c>
      <c r="I454" s="3">
        <v>1000</v>
      </c>
      <c r="J454" s="3" t="s">
        <v>26</v>
      </c>
      <c r="K454" s="3" t="str">
        <f t="shared" si="14"/>
        <v>Monday</v>
      </c>
      <c r="L454" s="3" t="str">
        <f t="shared" si="15"/>
        <v>Afternoon</v>
      </c>
    </row>
    <row r="455" spans="1:12" x14ac:dyDescent="0.35">
      <c r="A455" s="3" t="s">
        <v>700</v>
      </c>
      <c r="B455" s="3" t="s">
        <v>701</v>
      </c>
      <c r="C455" s="6">
        <v>46072.614583333343</v>
      </c>
      <c r="D455" s="3" t="s">
        <v>99</v>
      </c>
      <c r="E455" s="3" t="s">
        <v>41</v>
      </c>
      <c r="F455" s="3" t="s">
        <v>25</v>
      </c>
      <c r="G455" s="3" t="s">
        <v>15</v>
      </c>
      <c r="H455" s="3">
        <v>28</v>
      </c>
      <c r="I455" s="3">
        <v>600</v>
      </c>
      <c r="J455" s="3" t="s">
        <v>26</v>
      </c>
      <c r="K455" s="3" t="str">
        <f t="shared" si="14"/>
        <v>Thursday</v>
      </c>
      <c r="L455" s="3" t="str">
        <f t="shared" si="15"/>
        <v>Evening</v>
      </c>
    </row>
    <row r="456" spans="1:12" x14ac:dyDescent="0.35">
      <c r="A456" s="3" t="s">
        <v>702</v>
      </c>
      <c r="B456" s="3" t="s">
        <v>45</v>
      </c>
      <c r="C456" s="6">
        <v>46103.635416666657</v>
      </c>
      <c r="D456" s="3" t="s">
        <v>50</v>
      </c>
      <c r="E456" s="3" t="s">
        <v>37</v>
      </c>
      <c r="F456" s="3" t="s">
        <v>19</v>
      </c>
      <c r="G456" s="3" t="s">
        <v>15</v>
      </c>
      <c r="H456" s="3">
        <v>25</v>
      </c>
      <c r="I456" s="3">
        <v>500</v>
      </c>
      <c r="J456" s="3" t="s">
        <v>16</v>
      </c>
      <c r="K456" s="3" t="str">
        <f t="shared" si="14"/>
        <v>Sunday</v>
      </c>
      <c r="L456" s="3" t="str">
        <f t="shared" si="15"/>
        <v>Evening</v>
      </c>
    </row>
    <row r="457" spans="1:12" x14ac:dyDescent="0.35">
      <c r="A457" s="3" t="s">
        <v>703</v>
      </c>
      <c r="B457" s="3" t="s">
        <v>334</v>
      </c>
      <c r="C457" s="6">
        <v>46057.614583333343</v>
      </c>
      <c r="D457" s="3" t="s">
        <v>36</v>
      </c>
      <c r="E457" s="3" t="s">
        <v>41</v>
      </c>
      <c r="F457" s="3" t="s">
        <v>25</v>
      </c>
      <c r="G457" s="3" t="s">
        <v>15</v>
      </c>
      <c r="H457" s="3">
        <v>19</v>
      </c>
      <c r="I457" s="3">
        <v>700</v>
      </c>
      <c r="J457" s="3" t="s">
        <v>16</v>
      </c>
      <c r="K457" s="3" t="str">
        <f t="shared" si="14"/>
        <v>Wednesday</v>
      </c>
      <c r="L457" s="3" t="str">
        <f t="shared" si="15"/>
        <v>Evening</v>
      </c>
    </row>
    <row r="458" spans="1:12" x14ac:dyDescent="0.35">
      <c r="A458" s="3" t="s">
        <v>704</v>
      </c>
      <c r="B458" s="3" t="s">
        <v>705</v>
      </c>
      <c r="C458" s="6">
        <v>46067.75</v>
      </c>
      <c r="D458" s="3" t="s">
        <v>40</v>
      </c>
      <c r="E458" s="3" t="s">
        <v>13</v>
      </c>
      <c r="F458" s="3" t="s">
        <v>19</v>
      </c>
      <c r="G458" s="3" t="s">
        <v>15</v>
      </c>
      <c r="H458" s="3">
        <v>41</v>
      </c>
      <c r="I458" s="3">
        <v>500</v>
      </c>
      <c r="J458" s="3" t="s">
        <v>16</v>
      </c>
      <c r="K458" s="3" t="str">
        <f t="shared" si="14"/>
        <v>Saturday</v>
      </c>
      <c r="L458" s="3" t="str">
        <f t="shared" si="15"/>
        <v>Late Evening</v>
      </c>
    </row>
    <row r="459" spans="1:12" x14ac:dyDescent="0.35">
      <c r="A459" s="3" t="s">
        <v>706</v>
      </c>
      <c r="B459" s="3" t="s">
        <v>412</v>
      </c>
      <c r="C459" s="6">
        <v>46027.708333333343</v>
      </c>
      <c r="D459" s="3" t="s">
        <v>12</v>
      </c>
      <c r="E459" s="3" t="s">
        <v>41</v>
      </c>
      <c r="F459" s="3" t="s">
        <v>19</v>
      </c>
      <c r="G459" s="3" t="s">
        <v>20</v>
      </c>
      <c r="H459" s="3">
        <v>0</v>
      </c>
      <c r="I459" s="3">
        <v>900</v>
      </c>
      <c r="J459" s="3" t="s">
        <v>26</v>
      </c>
      <c r="K459" s="3" t="str">
        <f t="shared" si="14"/>
        <v>Monday</v>
      </c>
      <c r="L459" s="3" t="str">
        <f t="shared" si="15"/>
        <v>Late Evening</v>
      </c>
    </row>
    <row r="460" spans="1:12" x14ac:dyDescent="0.35">
      <c r="A460" s="3" t="s">
        <v>707</v>
      </c>
      <c r="B460" s="3" t="s">
        <v>541</v>
      </c>
      <c r="C460" s="6">
        <v>46162.739583333343</v>
      </c>
      <c r="D460" s="3" t="s">
        <v>50</v>
      </c>
      <c r="E460" s="3" t="s">
        <v>41</v>
      </c>
      <c r="F460" s="3" t="s">
        <v>54</v>
      </c>
      <c r="G460" s="3" t="s">
        <v>57</v>
      </c>
      <c r="H460" s="3">
        <v>0</v>
      </c>
      <c r="I460" s="3">
        <v>500</v>
      </c>
      <c r="J460" s="3" t="s">
        <v>26</v>
      </c>
      <c r="K460" s="3" t="str">
        <f t="shared" si="14"/>
        <v>Wednesday</v>
      </c>
      <c r="L460" s="3" t="str">
        <f t="shared" si="15"/>
        <v>Late Evening</v>
      </c>
    </row>
    <row r="461" spans="1:12" x14ac:dyDescent="0.35">
      <c r="A461" s="3" t="s">
        <v>708</v>
      </c>
      <c r="B461" s="3" t="s">
        <v>216</v>
      </c>
      <c r="C461" s="6">
        <v>46057.666666666657</v>
      </c>
      <c r="D461" s="3" t="s">
        <v>50</v>
      </c>
      <c r="E461" s="3" t="s">
        <v>41</v>
      </c>
      <c r="F461" s="3" t="s">
        <v>14</v>
      </c>
      <c r="G461" s="3" t="s">
        <v>15</v>
      </c>
      <c r="H461" s="3">
        <v>37</v>
      </c>
      <c r="I461" s="3">
        <v>500</v>
      </c>
      <c r="J461" s="3" t="s">
        <v>26</v>
      </c>
      <c r="K461" s="3" t="str">
        <f t="shared" si="14"/>
        <v>Wednesday</v>
      </c>
      <c r="L461" s="3" t="str">
        <f t="shared" si="15"/>
        <v>Evening</v>
      </c>
    </row>
    <row r="462" spans="1:12" x14ac:dyDescent="0.35">
      <c r="A462" s="3" t="s">
        <v>709</v>
      </c>
      <c r="B462" s="3" t="s">
        <v>146</v>
      </c>
      <c r="C462" s="6">
        <v>46154.447916666657</v>
      </c>
      <c r="D462" s="3" t="s">
        <v>40</v>
      </c>
      <c r="E462" s="3" t="s">
        <v>37</v>
      </c>
      <c r="F462" s="3" t="s">
        <v>19</v>
      </c>
      <c r="G462" s="3" t="s">
        <v>15</v>
      </c>
      <c r="H462" s="3">
        <v>37</v>
      </c>
      <c r="I462" s="3">
        <v>500</v>
      </c>
      <c r="J462" s="3" t="s">
        <v>16</v>
      </c>
      <c r="K462" s="3" t="str">
        <f t="shared" si="14"/>
        <v>Tuesday</v>
      </c>
      <c r="L462" s="3" t="str">
        <f t="shared" si="15"/>
        <v>Morning</v>
      </c>
    </row>
    <row r="463" spans="1:12" x14ac:dyDescent="0.35">
      <c r="A463" s="3" t="s">
        <v>710</v>
      </c>
      <c r="B463" s="3" t="s">
        <v>300</v>
      </c>
      <c r="C463" s="6">
        <v>46079.677083333343</v>
      </c>
      <c r="D463" s="3" t="s">
        <v>99</v>
      </c>
      <c r="E463" s="3" t="s">
        <v>24</v>
      </c>
      <c r="F463" s="3" t="s">
        <v>19</v>
      </c>
      <c r="G463" s="3" t="s">
        <v>15</v>
      </c>
      <c r="H463" s="3">
        <v>37</v>
      </c>
      <c r="I463" s="3">
        <v>600</v>
      </c>
      <c r="J463" s="3" t="s">
        <v>26</v>
      </c>
      <c r="K463" s="3" t="str">
        <f t="shared" si="14"/>
        <v>Thursday</v>
      </c>
      <c r="L463" s="3" t="str">
        <f t="shared" si="15"/>
        <v>Evening</v>
      </c>
    </row>
    <row r="464" spans="1:12" x14ac:dyDescent="0.35">
      <c r="A464" s="3" t="s">
        <v>711</v>
      </c>
      <c r="B464" s="3" t="s">
        <v>243</v>
      </c>
      <c r="C464" s="6">
        <v>46122.697916666657</v>
      </c>
      <c r="D464" s="3" t="s">
        <v>23</v>
      </c>
      <c r="E464" s="3" t="s">
        <v>41</v>
      </c>
      <c r="F464" s="3" t="s">
        <v>25</v>
      </c>
      <c r="G464" s="3" t="s">
        <v>15</v>
      </c>
      <c r="H464" s="3">
        <v>30</v>
      </c>
      <c r="I464" s="3">
        <v>800</v>
      </c>
      <c r="J464" s="3" t="s">
        <v>26</v>
      </c>
      <c r="K464" s="3" t="str">
        <f t="shared" si="14"/>
        <v>Friday</v>
      </c>
      <c r="L464" s="3" t="str">
        <f t="shared" si="15"/>
        <v>Evening</v>
      </c>
    </row>
    <row r="465" spans="1:12" x14ac:dyDescent="0.35">
      <c r="A465" s="3" t="s">
        <v>712</v>
      </c>
      <c r="B465" s="3" t="s">
        <v>541</v>
      </c>
      <c r="C465" s="6">
        <v>46090.760416666657</v>
      </c>
      <c r="D465" s="3" t="s">
        <v>50</v>
      </c>
      <c r="E465" s="3" t="s">
        <v>47</v>
      </c>
      <c r="F465" s="3" t="s">
        <v>14</v>
      </c>
      <c r="G465" s="3" t="s">
        <v>15</v>
      </c>
      <c r="H465" s="3">
        <v>36</v>
      </c>
      <c r="I465" s="3">
        <v>600</v>
      </c>
      <c r="J465" s="3" t="s">
        <v>16</v>
      </c>
      <c r="K465" s="3" t="str">
        <f t="shared" si="14"/>
        <v>Monday</v>
      </c>
      <c r="L465" s="3" t="str">
        <f t="shared" si="15"/>
        <v>Late Evening</v>
      </c>
    </row>
    <row r="466" spans="1:12" x14ac:dyDescent="0.35">
      <c r="A466" s="3" t="s">
        <v>713</v>
      </c>
      <c r="B466" s="3" t="s">
        <v>460</v>
      </c>
      <c r="C466" s="6">
        <v>46155.645833333343</v>
      </c>
      <c r="D466" s="3" t="s">
        <v>79</v>
      </c>
      <c r="E466" s="3" t="s">
        <v>41</v>
      </c>
      <c r="F466" s="3" t="s">
        <v>54</v>
      </c>
      <c r="G466" s="3" t="s">
        <v>15</v>
      </c>
      <c r="H466" s="3">
        <v>21</v>
      </c>
      <c r="I466" s="3">
        <v>800</v>
      </c>
      <c r="J466" s="3" t="s">
        <v>26</v>
      </c>
      <c r="K466" s="3" t="str">
        <f t="shared" si="14"/>
        <v>Wednesday</v>
      </c>
      <c r="L466" s="3" t="str">
        <f t="shared" si="15"/>
        <v>Evening</v>
      </c>
    </row>
    <row r="467" spans="1:12" x14ac:dyDescent="0.35">
      <c r="A467" s="3" t="s">
        <v>714</v>
      </c>
      <c r="B467" s="3" t="s">
        <v>296</v>
      </c>
      <c r="C467" s="6">
        <v>46135.427083333343</v>
      </c>
      <c r="D467" s="3" t="s">
        <v>40</v>
      </c>
      <c r="E467" s="3" t="s">
        <v>24</v>
      </c>
      <c r="F467" s="3" t="s">
        <v>25</v>
      </c>
      <c r="G467" s="3" t="s">
        <v>15</v>
      </c>
      <c r="H467" s="3">
        <v>31</v>
      </c>
      <c r="I467" s="3">
        <v>400</v>
      </c>
      <c r="J467" s="3" t="s">
        <v>26</v>
      </c>
      <c r="K467" s="3" t="str">
        <f t="shared" si="14"/>
        <v>Thursday</v>
      </c>
      <c r="L467" s="3" t="str">
        <f t="shared" si="15"/>
        <v>Morning</v>
      </c>
    </row>
    <row r="468" spans="1:12" x14ac:dyDescent="0.35">
      <c r="A468" s="3" t="s">
        <v>715</v>
      </c>
      <c r="B468" s="3" t="s">
        <v>279</v>
      </c>
      <c r="C468" s="6">
        <v>46063.583333333343</v>
      </c>
      <c r="D468" s="3" t="s">
        <v>53</v>
      </c>
      <c r="E468" s="3" t="s">
        <v>47</v>
      </c>
      <c r="F468" s="3" t="s">
        <v>25</v>
      </c>
      <c r="G468" s="3" t="s">
        <v>57</v>
      </c>
      <c r="H468" s="3">
        <v>0</v>
      </c>
      <c r="I468" s="3">
        <v>800</v>
      </c>
      <c r="J468" s="3" t="s">
        <v>26</v>
      </c>
      <c r="K468" s="3" t="str">
        <f t="shared" si="14"/>
        <v>Tuesday</v>
      </c>
      <c r="L468" s="3" t="str">
        <f t="shared" si="15"/>
        <v>Evening</v>
      </c>
    </row>
    <row r="469" spans="1:12" x14ac:dyDescent="0.35">
      <c r="A469" s="3" t="s">
        <v>716</v>
      </c>
      <c r="B469" s="3" t="s">
        <v>575</v>
      </c>
      <c r="C469" s="6">
        <v>46145.46875</v>
      </c>
      <c r="D469" s="3" t="s">
        <v>46</v>
      </c>
      <c r="E469" s="3" t="s">
        <v>24</v>
      </c>
      <c r="F469" s="3" t="s">
        <v>19</v>
      </c>
      <c r="G469" s="3" t="s">
        <v>57</v>
      </c>
      <c r="H469" s="3">
        <v>0</v>
      </c>
      <c r="I469" s="3">
        <v>800</v>
      </c>
      <c r="J469" s="3" t="s">
        <v>26</v>
      </c>
      <c r="K469" s="3" t="str">
        <f t="shared" si="14"/>
        <v>Sunday</v>
      </c>
      <c r="L469" s="3" t="str">
        <f t="shared" si="15"/>
        <v>Afternoon</v>
      </c>
    </row>
    <row r="470" spans="1:12" x14ac:dyDescent="0.35">
      <c r="A470" s="3" t="s">
        <v>717</v>
      </c>
      <c r="B470" s="3" t="s">
        <v>718</v>
      </c>
      <c r="C470" s="6">
        <v>46057.708333333343</v>
      </c>
      <c r="D470" s="3" t="s">
        <v>53</v>
      </c>
      <c r="E470" s="3" t="s">
        <v>24</v>
      </c>
      <c r="F470" s="3" t="s">
        <v>19</v>
      </c>
      <c r="G470" s="3" t="s">
        <v>20</v>
      </c>
      <c r="H470" s="3">
        <v>0</v>
      </c>
      <c r="I470" s="3">
        <v>800</v>
      </c>
      <c r="J470" s="3" t="s">
        <v>16</v>
      </c>
      <c r="K470" s="3" t="str">
        <f t="shared" si="14"/>
        <v>Wednesday</v>
      </c>
      <c r="L470" s="3" t="str">
        <f t="shared" si="15"/>
        <v>Late Evening</v>
      </c>
    </row>
    <row r="471" spans="1:12" x14ac:dyDescent="0.35">
      <c r="A471" s="3" t="s">
        <v>719</v>
      </c>
      <c r="B471" s="3" t="s">
        <v>282</v>
      </c>
      <c r="C471" s="6">
        <v>46176.75</v>
      </c>
      <c r="D471" s="3" t="s">
        <v>23</v>
      </c>
      <c r="E471" s="3" t="s">
        <v>47</v>
      </c>
      <c r="F471" s="3" t="s">
        <v>14</v>
      </c>
      <c r="G471" s="3" t="s">
        <v>57</v>
      </c>
      <c r="H471" s="3">
        <v>0</v>
      </c>
      <c r="I471" s="3">
        <v>800</v>
      </c>
      <c r="J471" s="3" t="s">
        <v>26</v>
      </c>
      <c r="K471" s="3" t="str">
        <f t="shared" si="14"/>
        <v>Wednesday</v>
      </c>
      <c r="L471" s="3" t="str">
        <f t="shared" si="15"/>
        <v>Late Evening</v>
      </c>
    </row>
    <row r="472" spans="1:12" x14ac:dyDescent="0.35">
      <c r="A472" s="3" t="s">
        <v>720</v>
      </c>
      <c r="B472" s="3" t="s">
        <v>225</v>
      </c>
      <c r="C472" s="6">
        <v>46146.427083333343</v>
      </c>
      <c r="D472" s="3" t="s">
        <v>46</v>
      </c>
      <c r="E472" s="3" t="s">
        <v>24</v>
      </c>
      <c r="F472" s="3" t="s">
        <v>19</v>
      </c>
      <c r="G472" s="3" t="s">
        <v>15</v>
      </c>
      <c r="H472" s="3">
        <v>23</v>
      </c>
      <c r="I472" s="3">
        <v>600</v>
      </c>
      <c r="J472" s="3" t="s">
        <v>16</v>
      </c>
      <c r="K472" s="3" t="str">
        <f t="shared" si="14"/>
        <v>Monday</v>
      </c>
      <c r="L472" s="3" t="str">
        <f t="shared" si="15"/>
        <v>Morning</v>
      </c>
    </row>
    <row r="473" spans="1:12" x14ac:dyDescent="0.35">
      <c r="A473" s="3" t="s">
        <v>721</v>
      </c>
      <c r="B473" s="3" t="s">
        <v>566</v>
      </c>
      <c r="C473" s="6">
        <v>46139.75</v>
      </c>
      <c r="D473" s="3" t="s">
        <v>23</v>
      </c>
      <c r="E473" s="3" t="s">
        <v>13</v>
      </c>
      <c r="F473" s="3" t="s">
        <v>19</v>
      </c>
      <c r="G473" s="3" t="s">
        <v>15</v>
      </c>
      <c r="H473" s="3">
        <v>31</v>
      </c>
      <c r="I473" s="3">
        <v>900</v>
      </c>
      <c r="J473" s="3" t="s">
        <v>26</v>
      </c>
      <c r="K473" s="3" t="str">
        <f t="shared" si="14"/>
        <v>Monday</v>
      </c>
      <c r="L473" s="3" t="str">
        <f t="shared" si="15"/>
        <v>Late Evening</v>
      </c>
    </row>
    <row r="474" spans="1:12" x14ac:dyDescent="0.35">
      <c r="A474" s="3" t="s">
        <v>722</v>
      </c>
      <c r="B474" s="3" t="s">
        <v>488</v>
      </c>
      <c r="C474" s="6">
        <v>46156.739583333343</v>
      </c>
      <c r="D474" s="3" t="s">
        <v>12</v>
      </c>
      <c r="E474" s="3" t="s">
        <v>41</v>
      </c>
      <c r="F474" s="3" t="s">
        <v>19</v>
      </c>
      <c r="G474" s="3" t="s">
        <v>15</v>
      </c>
      <c r="H474" s="3">
        <v>42</v>
      </c>
      <c r="I474" s="3">
        <v>900</v>
      </c>
      <c r="J474" s="3" t="s">
        <v>16</v>
      </c>
      <c r="K474" s="3" t="str">
        <f t="shared" si="14"/>
        <v>Thursday</v>
      </c>
      <c r="L474" s="3" t="str">
        <f t="shared" si="15"/>
        <v>Late Evening</v>
      </c>
    </row>
    <row r="475" spans="1:12" x14ac:dyDescent="0.35">
      <c r="A475" s="3" t="s">
        <v>723</v>
      </c>
      <c r="B475" s="3" t="s">
        <v>274</v>
      </c>
      <c r="C475" s="6">
        <v>46159.708333333343</v>
      </c>
      <c r="D475" s="3" t="s">
        <v>40</v>
      </c>
      <c r="E475" s="3" t="s">
        <v>47</v>
      </c>
      <c r="F475" s="3" t="s">
        <v>19</v>
      </c>
      <c r="G475" s="3" t="s">
        <v>15</v>
      </c>
      <c r="H475" s="3">
        <v>18</v>
      </c>
      <c r="I475" s="3">
        <v>600</v>
      </c>
      <c r="J475" s="3" t="s">
        <v>26</v>
      </c>
      <c r="K475" s="3" t="str">
        <f t="shared" si="14"/>
        <v>Sunday</v>
      </c>
      <c r="L475" s="3" t="str">
        <f t="shared" si="15"/>
        <v>Late Evening</v>
      </c>
    </row>
    <row r="476" spans="1:12" x14ac:dyDescent="0.35">
      <c r="A476" s="3" t="s">
        <v>724</v>
      </c>
      <c r="B476" s="3" t="s">
        <v>460</v>
      </c>
      <c r="C476" s="6">
        <v>46117.364583333343</v>
      </c>
      <c r="D476" s="3" t="s">
        <v>46</v>
      </c>
      <c r="E476" s="3" t="s">
        <v>41</v>
      </c>
      <c r="F476" s="3" t="s">
        <v>54</v>
      </c>
      <c r="G476" s="3" t="s">
        <v>15</v>
      </c>
      <c r="H476" s="3">
        <v>50</v>
      </c>
      <c r="I476" s="3">
        <v>800</v>
      </c>
      <c r="J476" s="3" t="s">
        <v>16</v>
      </c>
      <c r="K476" s="3" t="str">
        <f t="shared" si="14"/>
        <v>Sunday</v>
      </c>
      <c r="L476" s="3" t="str">
        <f t="shared" si="15"/>
        <v>Morning</v>
      </c>
    </row>
    <row r="477" spans="1:12" x14ac:dyDescent="0.35">
      <c r="A477" s="3" t="s">
        <v>725</v>
      </c>
      <c r="B477" s="3" t="s">
        <v>646</v>
      </c>
      <c r="C477" s="6">
        <v>46131.4375</v>
      </c>
      <c r="D477" s="3" t="s">
        <v>40</v>
      </c>
      <c r="E477" s="3" t="s">
        <v>41</v>
      </c>
      <c r="F477" s="3" t="s">
        <v>14</v>
      </c>
      <c r="G477" s="3" t="s">
        <v>15</v>
      </c>
      <c r="H477" s="3">
        <v>15</v>
      </c>
      <c r="I477" s="3">
        <v>500</v>
      </c>
      <c r="J477" s="3" t="s">
        <v>16</v>
      </c>
      <c r="K477" s="3" t="str">
        <f t="shared" si="14"/>
        <v>Sunday</v>
      </c>
      <c r="L477" s="3" t="str">
        <f t="shared" si="15"/>
        <v>Morning</v>
      </c>
    </row>
    <row r="478" spans="1:12" x14ac:dyDescent="0.35">
      <c r="A478" s="3" t="s">
        <v>726</v>
      </c>
      <c r="B478" s="3" t="s">
        <v>194</v>
      </c>
      <c r="C478" s="6">
        <v>46088.458333333343</v>
      </c>
      <c r="D478" s="3" t="s">
        <v>50</v>
      </c>
      <c r="E478" s="3" t="s">
        <v>47</v>
      </c>
      <c r="F478" s="3" t="s">
        <v>14</v>
      </c>
      <c r="G478" s="3" t="s">
        <v>57</v>
      </c>
      <c r="H478" s="3">
        <v>0</v>
      </c>
      <c r="I478" s="3">
        <v>500</v>
      </c>
      <c r="J478" s="3" t="s">
        <v>26</v>
      </c>
      <c r="K478" s="3" t="str">
        <f t="shared" si="14"/>
        <v>Saturday</v>
      </c>
      <c r="L478" s="3" t="str">
        <f t="shared" si="15"/>
        <v>Afternoon</v>
      </c>
    </row>
    <row r="479" spans="1:12" x14ac:dyDescent="0.35">
      <c r="A479" s="3" t="s">
        <v>727</v>
      </c>
      <c r="B479" s="3" t="s">
        <v>362</v>
      </c>
      <c r="C479" s="6">
        <v>46199.614583333343</v>
      </c>
      <c r="D479" s="3" t="s">
        <v>79</v>
      </c>
      <c r="E479" s="3" t="s">
        <v>37</v>
      </c>
      <c r="F479" s="3" t="s">
        <v>54</v>
      </c>
      <c r="G479" s="3" t="s">
        <v>15</v>
      </c>
      <c r="H479" s="3">
        <v>10</v>
      </c>
      <c r="I479" s="3">
        <v>700</v>
      </c>
      <c r="J479" s="3" t="s">
        <v>16</v>
      </c>
      <c r="K479" s="3" t="str">
        <f t="shared" si="14"/>
        <v>Friday</v>
      </c>
      <c r="L479" s="3" t="str">
        <f t="shared" si="15"/>
        <v>Evening</v>
      </c>
    </row>
    <row r="480" spans="1:12" x14ac:dyDescent="0.35">
      <c r="A480" s="3" t="s">
        <v>728</v>
      </c>
      <c r="B480" s="3" t="s">
        <v>729</v>
      </c>
      <c r="C480" s="6">
        <v>46167.604166666657</v>
      </c>
      <c r="D480" s="3" t="s">
        <v>36</v>
      </c>
      <c r="E480" s="3" t="s">
        <v>41</v>
      </c>
      <c r="F480" s="3" t="s">
        <v>19</v>
      </c>
      <c r="G480" s="3" t="s">
        <v>57</v>
      </c>
      <c r="H480" s="3">
        <v>0</v>
      </c>
      <c r="I480" s="3">
        <v>700</v>
      </c>
      <c r="J480" s="3" t="s">
        <v>16</v>
      </c>
      <c r="K480" s="3" t="str">
        <f t="shared" si="14"/>
        <v>Monday</v>
      </c>
      <c r="L480" s="3" t="str">
        <f t="shared" si="15"/>
        <v>Evening</v>
      </c>
    </row>
    <row r="481" spans="1:12" x14ac:dyDescent="0.35">
      <c r="A481" s="3" t="s">
        <v>730</v>
      </c>
      <c r="B481" s="3" t="s">
        <v>194</v>
      </c>
      <c r="C481" s="6">
        <v>46068.614583333343</v>
      </c>
      <c r="D481" s="3" t="s">
        <v>50</v>
      </c>
      <c r="E481" s="3" t="s">
        <v>24</v>
      </c>
      <c r="F481" s="3" t="s">
        <v>25</v>
      </c>
      <c r="G481" s="3" t="s">
        <v>15</v>
      </c>
      <c r="H481" s="3">
        <v>41</v>
      </c>
      <c r="I481" s="3">
        <v>500</v>
      </c>
      <c r="J481" s="3" t="s">
        <v>16</v>
      </c>
      <c r="K481" s="3" t="str">
        <f t="shared" si="14"/>
        <v>Sunday</v>
      </c>
      <c r="L481" s="3" t="str">
        <f t="shared" si="15"/>
        <v>Evening</v>
      </c>
    </row>
    <row r="482" spans="1:12" x14ac:dyDescent="0.35">
      <c r="A482" s="3" t="s">
        <v>731</v>
      </c>
      <c r="B482" s="3" t="s">
        <v>206</v>
      </c>
      <c r="C482" s="6">
        <v>46081.677083333343</v>
      </c>
      <c r="D482" s="3" t="s">
        <v>53</v>
      </c>
      <c r="E482" s="3" t="s">
        <v>41</v>
      </c>
      <c r="F482" s="3" t="s">
        <v>54</v>
      </c>
      <c r="G482" s="3" t="s">
        <v>15</v>
      </c>
      <c r="H482" s="3">
        <v>39</v>
      </c>
      <c r="I482" s="3">
        <v>800</v>
      </c>
      <c r="J482" s="3" t="s">
        <v>16</v>
      </c>
      <c r="K482" s="3" t="str">
        <f t="shared" si="14"/>
        <v>Saturday</v>
      </c>
      <c r="L482" s="3" t="str">
        <f t="shared" si="15"/>
        <v>Evening</v>
      </c>
    </row>
    <row r="483" spans="1:12" x14ac:dyDescent="0.35">
      <c r="A483" s="3" t="s">
        <v>732</v>
      </c>
      <c r="B483" s="3" t="s">
        <v>150</v>
      </c>
      <c r="C483" s="6">
        <v>46064.625</v>
      </c>
      <c r="D483" s="3" t="s">
        <v>40</v>
      </c>
      <c r="E483" s="3" t="s">
        <v>13</v>
      </c>
      <c r="F483" s="3" t="s">
        <v>54</v>
      </c>
      <c r="G483" s="3" t="s">
        <v>15</v>
      </c>
      <c r="H483" s="3">
        <v>35</v>
      </c>
      <c r="I483" s="3">
        <v>500</v>
      </c>
      <c r="J483" s="3" t="s">
        <v>26</v>
      </c>
      <c r="K483" s="3" t="str">
        <f t="shared" si="14"/>
        <v>Wednesday</v>
      </c>
      <c r="L483" s="3" t="str">
        <f t="shared" si="15"/>
        <v>Evening</v>
      </c>
    </row>
    <row r="484" spans="1:12" x14ac:dyDescent="0.35">
      <c r="A484" s="3" t="s">
        <v>733</v>
      </c>
      <c r="B484" s="3" t="s">
        <v>210</v>
      </c>
      <c r="C484" s="6">
        <v>46079.583333333343</v>
      </c>
      <c r="D484" s="3" t="s">
        <v>31</v>
      </c>
      <c r="E484" s="3" t="s">
        <v>41</v>
      </c>
      <c r="F484" s="3" t="s">
        <v>54</v>
      </c>
      <c r="G484" s="3" t="s">
        <v>20</v>
      </c>
      <c r="H484" s="3">
        <v>0</v>
      </c>
      <c r="I484" s="3">
        <v>1000</v>
      </c>
      <c r="J484" s="3" t="s">
        <v>16</v>
      </c>
      <c r="K484" s="3" t="str">
        <f t="shared" si="14"/>
        <v>Thursday</v>
      </c>
      <c r="L484" s="3" t="str">
        <f t="shared" si="15"/>
        <v>Evening</v>
      </c>
    </row>
    <row r="485" spans="1:12" x14ac:dyDescent="0.35">
      <c r="A485" s="3" t="s">
        <v>734</v>
      </c>
      <c r="B485" s="3" t="s">
        <v>177</v>
      </c>
      <c r="C485" s="6">
        <v>46175.34375</v>
      </c>
      <c r="D485" s="3" t="s">
        <v>50</v>
      </c>
      <c r="E485" s="3" t="s">
        <v>41</v>
      </c>
      <c r="F485" s="3" t="s">
        <v>14</v>
      </c>
      <c r="G485" s="3" t="s">
        <v>57</v>
      </c>
      <c r="H485" s="3">
        <v>0</v>
      </c>
      <c r="I485" s="3">
        <v>600</v>
      </c>
      <c r="J485" s="3" t="s">
        <v>26</v>
      </c>
      <c r="K485" s="3" t="str">
        <f t="shared" si="14"/>
        <v>Tuesday</v>
      </c>
      <c r="L485" s="3" t="str">
        <f t="shared" si="15"/>
        <v>Morning</v>
      </c>
    </row>
    <row r="486" spans="1:12" x14ac:dyDescent="0.35">
      <c r="A486" s="3" t="s">
        <v>735</v>
      </c>
      <c r="B486" s="3" t="s">
        <v>125</v>
      </c>
      <c r="C486" s="6">
        <v>46072.34375</v>
      </c>
      <c r="D486" s="3" t="s">
        <v>50</v>
      </c>
      <c r="E486" s="3" t="s">
        <v>24</v>
      </c>
      <c r="F486" s="3" t="s">
        <v>14</v>
      </c>
      <c r="G486" s="3" t="s">
        <v>20</v>
      </c>
      <c r="H486" s="3">
        <v>0</v>
      </c>
      <c r="I486" s="3">
        <v>500</v>
      </c>
      <c r="J486" s="3" t="s">
        <v>16</v>
      </c>
      <c r="K486" s="3" t="str">
        <f t="shared" si="14"/>
        <v>Thursday</v>
      </c>
      <c r="L486" s="3" t="str">
        <f t="shared" si="15"/>
        <v>Morning</v>
      </c>
    </row>
    <row r="487" spans="1:12" x14ac:dyDescent="0.35">
      <c r="A487" s="3" t="s">
        <v>736</v>
      </c>
      <c r="B487" s="3" t="s">
        <v>144</v>
      </c>
      <c r="C487" s="6">
        <v>46063.395833333343</v>
      </c>
      <c r="D487" s="3" t="s">
        <v>53</v>
      </c>
      <c r="E487" s="3" t="s">
        <v>41</v>
      </c>
      <c r="F487" s="3" t="s">
        <v>54</v>
      </c>
      <c r="G487" s="3" t="s">
        <v>15</v>
      </c>
      <c r="H487" s="3">
        <v>37</v>
      </c>
      <c r="I487" s="3">
        <v>800</v>
      </c>
      <c r="J487" s="3" t="s">
        <v>16</v>
      </c>
      <c r="K487" s="3" t="str">
        <f t="shared" si="14"/>
        <v>Tuesday</v>
      </c>
      <c r="L487" s="3" t="str">
        <f t="shared" si="15"/>
        <v>Morning</v>
      </c>
    </row>
    <row r="488" spans="1:12" x14ac:dyDescent="0.35">
      <c r="A488" s="3" t="s">
        <v>737</v>
      </c>
      <c r="B488" s="3" t="s">
        <v>94</v>
      </c>
      <c r="C488" s="6">
        <v>46155.333333333343</v>
      </c>
      <c r="D488" s="3" t="s">
        <v>40</v>
      </c>
      <c r="E488" s="3" t="s">
        <v>37</v>
      </c>
      <c r="F488" s="3" t="s">
        <v>25</v>
      </c>
      <c r="G488" s="3" t="s">
        <v>15</v>
      </c>
      <c r="H488" s="3">
        <v>27</v>
      </c>
      <c r="I488" s="3">
        <v>400</v>
      </c>
      <c r="J488" s="3" t="s">
        <v>16</v>
      </c>
      <c r="K488" s="3" t="str">
        <f t="shared" si="14"/>
        <v>Wednesday</v>
      </c>
      <c r="L488" s="3" t="str">
        <f t="shared" si="15"/>
        <v>Morning</v>
      </c>
    </row>
    <row r="489" spans="1:12" x14ac:dyDescent="0.35">
      <c r="A489" s="3" t="s">
        <v>738</v>
      </c>
      <c r="B489" s="3" t="s">
        <v>69</v>
      </c>
      <c r="C489" s="6">
        <v>46178.489583333343</v>
      </c>
      <c r="D489" s="3" t="s">
        <v>99</v>
      </c>
      <c r="E489" s="3" t="s">
        <v>47</v>
      </c>
      <c r="F489" s="3" t="s">
        <v>25</v>
      </c>
      <c r="G489" s="3" t="s">
        <v>15</v>
      </c>
      <c r="H489" s="3">
        <v>11</v>
      </c>
      <c r="I489" s="3">
        <v>500</v>
      </c>
      <c r="J489" s="3" t="s">
        <v>26</v>
      </c>
      <c r="K489" s="3" t="str">
        <f t="shared" si="14"/>
        <v>Friday</v>
      </c>
      <c r="L489" s="3" t="str">
        <f t="shared" si="15"/>
        <v>Afternoon</v>
      </c>
    </row>
    <row r="490" spans="1:12" x14ac:dyDescent="0.35">
      <c r="A490" s="3" t="s">
        <v>739</v>
      </c>
      <c r="B490" s="3" t="s">
        <v>544</v>
      </c>
      <c r="C490" s="6">
        <v>46166.395833333343</v>
      </c>
      <c r="D490" s="3" t="s">
        <v>79</v>
      </c>
      <c r="E490" s="3" t="s">
        <v>47</v>
      </c>
      <c r="F490" s="3" t="s">
        <v>25</v>
      </c>
      <c r="G490" s="3" t="s">
        <v>15</v>
      </c>
      <c r="H490" s="3">
        <v>25</v>
      </c>
      <c r="I490" s="3">
        <v>700</v>
      </c>
      <c r="J490" s="3" t="s">
        <v>16</v>
      </c>
      <c r="K490" s="3" t="str">
        <f t="shared" si="14"/>
        <v>Sunday</v>
      </c>
      <c r="L490" s="3" t="str">
        <f t="shared" si="15"/>
        <v>Morning</v>
      </c>
    </row>
    <row r="491" spans="1:12" x14ac:dyDescent="0.35">
      <c r="A491" s="3" t="s">
        <v>740</v>
      </c>
      <c r="B491" s="3" t="s">
        <v>105</v>
      </c>
      <c r="C491" s="6">
        <v>46167.677083333343</v>
      </c>
      <c r="D491" s="3" t="s">
        <v>46</v>
      </c>
      <c r="E491" s="3" t="s">
        <v>47</v>
      </c>
      <c r="F491" s="3" t="s">
        <v>54</v>
      </c>
      <c r="G491" s="3" t="s">
        <v>15</v>
      </c>
      <c r="H491" s="3">
        <v>16</v>
      </c>
      <c r="I491" s="3">
        <v>800</v>
      </c>
      <c r="J491" s="3" t="s">
        <v>26</v>
      </c>
      <c r="K491" s="3" t="str">
        <f t="shared" si="14"/>
        <v>Monday</v>
      </c>
      <c r="L491" s="3" t="str">
        <f t="shared" si="15"/>
        <v>Evening</v>
      </c>
    </row>
    <row r="492" spans="1:12" x14ac:dyDescent="0.35">
      <c r="A492" s="3" t="s">
        <v>741</v>
      </c>
      <c r="B492" s="3" t="s">
        <v>11</v>
      </c>
      <c r="C492" s="6">
        <v>46089.40625</v>
      </c>
      <c r="D492" s="3" t="s">
        <v>79</v>
      </c>
      <c r="E492" s="3" t="s">
        <v>47</v>
      </c>
      <c r="F492" s="3" t="s">
        <v>19</v>
      </c>
      <c r="G492" s="3" t="s">
        <v>57</v>
      </c>
      <c r="H492" s="3">
        <v>0</v>
      </c>
      <c r="I492" s="3">
        <v>700</v>
      </c>
      <c r="J492" s="3" t="s">
        <v>16</v>
      </c>
      <c r="K492" s="3" t="str">
        <f t="shared" si="14"/>
        <v>Sunday</v>
      </c>
      <c r="L492" s="3" t="str">
        <f t="shared" si="15"/>
        <v>Morning</v>
      </c>
    </row>
    <row r="493" spans="1:12" x14ac:dyDescent="0.35">
      <c r="A493" s="3" t="s">
        <v>742</v>
      </c>
      <c r="B493" s="3" t="s">
        <v>45</v>
      </c>
      <c r="C493" s="6">
        <v>46155.708333333343</v>
      </c>
      <c r="D493" s="3" t="s">
        <v>46</v>
      </c>
      <c r="E493" s="3" t="s">
        <v>47</v>
      </c>
      <c r="F493" s="3" t="s">
        <v>25</v>
      </c>
      <c r="G493" s="3" t="s">
        <v>57</v>
      </c>
      <c r="H493" s="3">
        <v>0</v>
      </c>
      <c r="I493" s="3">
        <v>700</v>
      </c>
      <c r="J493" s="3" t="s">
        <v>26</v>
      </c>
      <c r="K493" s="3" t="str">
        <f t="shared" si="14"/>
        <v>Wednesday</v>
      </c>
      <c r="L493" s="3" t="str">
        <f t="shared" si="15"/>
        <v>Late Evening</v>
      </c>
    </row>
    <row r="494" spans="1:12" x14ac:dyDescent="0.35">
      <c r="A494" s="3" t="s">
        <v>743</v>
      </c>
      <c r="B494" s="3" t="s">
        <v>330</v>
      </c>
      <c r="C494" s="6">
        <v>46042.71875</v>
      </c>
      <c r="D494" s="3" t="s">
        <v>46</v>
      </c>
      <c r="E494" s="3" t="s">
        <v>24</v>
      </c>
      <c r="F494" s="3" t="s">
        <v>19</v>
      </c>
      <c r="G494" s="3" t="s">
        <v>15</v>
      </c>
      <c r="H494" s="3">
        <v>36</v>
      </c>
      <c r="I494" s="3">
        <v>700</v>
      </c>
      <c r="J494" s="3" t="s">
        <v>16</v>
      </c>
      <c r="K494" s="3" t="str">
        <f t="shared" si="14"/>
        <v>Tuesday</v>
      </c>
      <c r="L494" s="3" t="str">
        <f t="shared" si="15"/>
        <v>Late Evening</v>
      </c>
    </row>
    <row r="495" spans="1:12" x14ac:dyDescent="0.35">
      <c r="A495" s="3" t="s">
        <v>744</v>
      </c>
      <c r="B495" s="3" t="s">
        <v>65</v>
      </c>
      <c r="C495" s="6">
        <v>46150.46875</v>
      </c>
      <c r="D495" s="3" t="s">
        <v>53</v>
      </c>
      <c r="E495" s="3" t="s">
        <v>24</v>
      </c>
      <c r="F495" s="3" t="s">
        <v>25</v>
      </c>
      <c r="G495" s="3" t="s">
        <v>57</v>
      </c>
      <c r="H495" s="3">
        <v>0</v>
      </c>
      <c r="I495" s="3">
        <v>800</v>
      </c>
      <c r="J495" s="3" t="s">
        <v>26</v>
      </c>
      <c r="K495" s="3" t="str">
        <f t="shared" si="14"/>
        <v>Friday</v>
      </c>
      <c r="L495" s="3" t="str">
        <f t="shared" si="15"/>
        <v>Afternoon</v>
      </c>
    </row>
    <row r="496" spans="1:12" x14ac:dyDescent="0.35">
      <c r="A496" s="3" t="s">
        <v>745</v>
      </c>
      <c r="B496" s="3" t="s">
        <v>746</v>
      </c>
      <c r="C496" s="6">
        <v>46086.770833333343</v>
      </c>
      <c r="D496" s="3" t="s">
        <v>53</v>
      </c>
      <c r="E496" s="3" t="s">
        <v>41</v>
      </c>
      <c r="F496" s="3" t="s">
        <v>14</v>
      </c>
      <c r="G496" s="3" t="s">
        <v>15</v>
      </c>
      <c r="H496" s="3">
        <v>28</v>
      </c>
      <c r="I496" s="3">
        <v>800</v>
      </c>
      <c r="J496" s="3" t="s">
        <v>16</v>
      </c>
      <c r="K496" s="3" t="str">
        <f t="shared" si="14"/>
        <v>Thursday</v>
      </c>
      <c r="L496" s="3" t="str">
        <f t="shared" si="15"/>
        <v>Late Evening</v>
      </c>
    </row>
    <row r="497" spans="1:12" x14ac:dyDescent="0.35">
      <c r="A497" s="3" t="s">
        <v>747</v>
      </c>
      <c r="B497" s="3" t="s">
        <v>391</v>
      </c>
      <c r="C497" s="6">
        <v>46161.364583333343</v>
      </c>
      <c r="D497" s="3" t="s">
        <v>40</v>
      </c>
      <c r="E497" s="3" t="s">
        <v>47</v>
      </c>
      <c r="F497" s="3" t="s">
        <v>54</v>
      </c>
      <c r="G497" s="3" t="s">
        <v>15</v>
      </c>
      <c r="H497" s="3">
        <v>18</v>
      </c>
      <c r="I497" s="3">
        <v>400</v>
      </c>
      <c r="J497" s="3" t="s">
        <v>16</v>
      </c>
      <c r="K497" s="3" t="str">
        <f t="shared" si="14"/>
        <v>Tuesday</v>
      </c>
      <c r="L497" s="3" t="str">
        <f t="shared" si="15"/>
        <v>Morning</v>
      </c>
    </row>
    <row r="498" spans="1:12" x14ac:dyDescent="0.35">
      <c r="A498" s="3" t="s">
        <v>748</v>
      </c>
      <c r="B498" s="3" t="s">
        <v>699</v>
      </c>
      <c r="C498" s="6">
        <v>46153.53125</v>
      </c>
      <c r="D498" s="3" t="s">
        <v>79</v>
      </c>
      <c r="E498" s="3" t="s">
        <v>47</v>
      </c>
      <c r="F498" s="3" t="s">
        <v>14</v>
      </c>
      <c r="G498" s="3" t="s">
        <v>15</v>
      </c>
      <c r="H498" s="3">
        <v>21</v>
      </c>
      <c r="I498" s="3">
        <v>600</v>
      </c>
      <c r="J498" s="3" t="s">
        <v>16</v>
      </c>
      <c r="K498" s="3" t="str">
        <f t="shared" si="14"/>
        <v>Monday</v>
      </c>
      <c r="L498" s="3" t="str">
        <f t="shared" si="15"/>
        <v>Afternoon</v>
      </c>
    </row>
    <row r="499" spans="1:12" x14ac:dyDescent="0.35">
      <c r="C499"/>
    </row>
    <row r="500" spans="1:12" x14ac:dyDescent="0.35">
      <c r="C500"/>
      <c r="F500" s="3"/>
    </row>
    <row r="501" spans="1:12" x14ac:dyDescent="0.35">
      <c r="C501"/>
    </row>
    <row r="502" spans="1:12" x14ac:dyDescent="0.35">
      <c r="A502" s="3" t="s">
        <v>6</v>
      </c>
      <c r="B502" s="3" t="s">
        <v>757</v>
      </c>
      <c r="C502" s="3" t="s">
        <v>760</v>
      </c>
      <c r="D502" s="3" t="s">
        <v>766</v>
      </c>
      <c r="E502" s="3" t="s">
        <v>767</v>
      </c>
    </row>
    <row r="503" spans="1:12" x14ac:dyDescent="0.35">
      <c r="A503" s="3" t="s">
        <v>15</v>
      </c>
      <c r="B503" s="3">
        <f>COUNTIFS(G2:G498,"Completed")</f>
        <v>336</v>
      </c>
      <c r="C503" s="8">
        <f>336/497*100</f>
        <v>67.605633802816897</v>
      </c>
      <c r="D503" s="3">
        <f>SUMIFS(I2:I498,G2:G498,"Completed")</f>
        <v>241700</v>
      </c>
      <c r="E503" s="14">
        <f>(D503/B503)</f>
        <v>719.34523809523807</v>
      </c>
    </row>
    <row r="504" spans="1:12" x14ac:dyDescent="0.35">
      <c r="A504" s="3" t="s">
        <v>758</v>
      </c>
      <c r="B504" s="3">
        <f>COUNTIFS(G2:G498,"Cancelled")</f>
        <v>79</v>
      </c>
      <c r="C504" s="8">
        <f>79/497*100</f>
        <v>15.895372233400401</v>
      </c>
      <c r="D504" s="3"/>
      <c r="E504" s="14"/>
    </row>
    <row r="505" spans="1:12" x14ac:dyDescent="0.35">
      <c r="A505" s="3" t="s">
        <v>57</v>
      </c>
      <c r="B505" s="3">
        <f>COUNTIFS(G2:G498,"No Show")</f>
        <v>82</v>
      </c>
      <c r="C505" s="8">
        <f>82/497*100</f>
        <v>16.498993963782695</v>
      </c>
      <c r="D505" s="3"/>
      <c r="E505" s="14"/>
    </row>
    <row r="506" spans="1:12" x14ac:dyDescent="0.35">
      <c r="A506" s="3" t="s">
        <v>759</v>
      </c>
      <c r="B506" s="3">
        <f>SUM(B503:B505)</f>
        <v>497</v>
      </c>
      <c r="C506" s="8">
        <v>100</v>
      </c>
      <c r="D506" s="3"/>
      <c r="E506" s="14"/>
    </row>
    <row r="508" spans="1:12" x14ac:dyDescent="0.35">
      <c r="A508" s="20" t="s">
        <v>773</v>
      </c>
    </row>
    <row r="509" spans="1:12" x14ac:dyDescent="0.35">
      <c r="A509" s="21">
        <f>AVERAGE(H2:H498)</f>
        <v>19.428282828282828</v>
      </c>
    </row>
  </sheetData>
  <conditionalFormatting sqref="A1:A498 A502:A507 A510:A1048576">
    <cfRule type="duplicateValues" dxfId="5" priority="3"/>
    <cfRule type="duplicateValues" dxfId="4" priority="4"/>
    <cfRule type="duplicateValues" dxfId="3" priority="6"/>
  </conditionalFormatting>
  <conditionalFormatting sqref="A2:A498">
    <cfRule type="duplicateValues" dxfId="2" priority="1"/>
    <cfRule type="duplicateValues" dxfId="1" priority="2"/>
  </conditionalFormatting>
  <conditionalFormatting sqref="A1:J1">
    <cfRule type="duplicateValues" dxfId="0" priority="5"/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322E-75C5-4247-B021-EF8123127B27}">
  <dimension ref="A1:I92"/>
  <sheetViews>
    <sheetView showGridLines="0" tabSelected="1" zoomScale="40" zoomScaleNormal="40" workbookViewId="0">
      <selection activeCell="N12" sqref="N12"/>
    </sheetView>
  </sheetViews>
  <sheetFormatPr defaultRowHeight="14.5" x14ac:dyDescent="0.35"/>
  <cols>
    <col min="2" max="9" width="21.6328125" customWidth="1"/>
  </cols>
  <sheetData>
    <row r="1" spans="2:9" ht="28.5" x14ac:dyDescent="0.35">
      <c r="B1" s="42" t="s">
        <v>788</v>
      </c>
      <c r="C1" s="43"/>
      <c r="D1" s="43"/>
      <c r="E1" s="43"/>
      <c r="F1" s="43"/>
      <c r="G1" s="43"/>
      <c r="H1" s="43"/>
      <c r="I1" s="43"/>
    </row>
    <row r="2" spans="2:9" ht="24" customHeight="1" x14ac:dyDescent="0.35">
      <c r="B2" s="44" t="s">
        <v>789</v>
      </c>
      <c r="C2" s="43"/>
      <c r="D2" s="43"/>
      <c r="E2" s="43"/>
      <c r="F2" s="43"/>
      <c r="G2" s="43"/>
      <c r="H2" s="43"/>
      <c r="I2" s="43"/>
    </row>
    <row r="3" spans="2:9" ht="14.5" customHeight="1" thickBot="1" x14ac:dyDescent="0.4">
      <c r="D3" s="35"/>
    </row>
    <row r="4" spans="2:9" ht="18.5" x14ac:dyDescent="0.45">
      <c r="B4" s="45">
        <v>497</v>
      </c>
      <c r="C4" s="46"/>
      <c r="D4" s="49">
        <v>336</v>
      </c>
      <c r="E4" s="50"/>
      <c r="F4" s="49">
        <v>82</v>
      </c>
      <c r="G4" s="50"/>
      <c r="H4" s="49">
        <v>79</v>
      </c>
      <c r="I4" s="53"/>
    </row>
    <row r="5" spans="2:9" ht="19" thickBot="1" x14ac:dyDescent="0.5">
      <c r="B5" s="47" t="s">
        <v>790</v>
      </c>
      <c r="C5" s="48"/>
      <c r="D5" s="51" t="s">
        <v>15</v>
      </c>
      <c r="E5" s="52"/>
      <c r="F5" s="51" t="s">
        <v>57</v>
      </c>
      <c r="G5" s="52"/>
      <c r="H5" s="51" t="s">
        <v>20</v>
      </c>
      <c r="I5" s="54"/>
    </row>
    <row r="6" spans="2:9" ht="19" thickBot="1" x14ac:dyDescent="0.5">
      <c r="B6" s="36"/>
      <c r="C6" s="36"/>
      <c r="D6" s="36"/>
      <c r="E6" s="36"/>
      <c r="F6" s="36"/>
      <c r="G6" s="36"/>
      <c r="H6" s="36"/>
      <c r="I6" s="36"/>
    </row>
    <row r="7" spans="2:9" ht="18.5" x14ac:dyDescent="0.45">
      <c r="B7" s="60">
        <v>0.16500000000000001</v>
      </c>
      <c r="C7" s="61"/>
      <c r="D7" s="56">
        <v>241700</v>
      </c>
      <c r="E7" s="57"/>
      <c r="F7" s="58">
        <v>117700</v>
      </c>
      <c r="G7" s="59"/>
      <c r="H7" s="36"/>
      <c r="I7" s="36"/>
    </row>
    <row r="8" spans="2:9" ht="19" thickBot="1" x14ac:dyDescent="0.5">
      <c r="B8" s="55" t="s">
        <v>771</v>
      </c>
      <c r="C8" s="52"/>
      <c r="D8" s="51" t="s">
        <v>791</v>
      </c>
      <c r="E8" s="52"/>
      <c r="F8" s="51" t="s">
        <v>792</v>
      </c>
      <c r="G8" s="54"/>
      <c r="H8" s="36"/>
      <c r="I8" s="36"/>
    </row>
    <row r="9" spans="2:9" ht="26" customHeight="1" x14ac:dyDescent="0.35"/>
    <row r="10" spans="2:9" ht="32.5" customHeight="1" x14ac:dyDescent="0.5">
      <c r="G10" s="41" t="s">
        <v>801</v>
      </c>
      <c r="H10" s="41"/>
      <c r="I10" s="41"/>
    </row>
    <row r="86" spans="1:9" ht="15" thickBot="1" x14ac:dyDescent="0.4"/>
    <row r="87" spans="1:9" ht="33.5" customHeight="1" x14ac:dyDescent="0.35">
      <c r="A87" s="67" t="s">
        <v>804</v>
      </c>
      <c r="B87" s="68"/>
      <c r="C87" s="68"/>
      <c r="D87" s="68"/>
      <c r="E87" s="68"/>
      <c r="F87" s="68"/>
      <c r="G87" s="68"/>
      <c r="H87" s="68"/>
      <c r="I87" s="69"/>
    </row>
    <row r="88" spans="1:9" ht="33.5" customHeight="1" x14ac:dyDescent="0.35">
      <c r="A88" s="70" t="s">
        <v>805</v>
      </c>
      <c r="B88" s="71"/>
      <c r="C88" s="71"/>
      <c r="D88" s="71"/>
      <c r="E88" s="71"/>
      <c r="F88" s="71"/>
      <c r="G88" s="71"/>
      <c r="H88" s="71"/>
      <c r="I88" s="72"/>
    </row>
    <row r="89" spans="1:9" ht="33.5" customHeight="1" x14ac:dyDescent="0.35">
      <c r="A89" s="70" t="s">
        <v>806</v>
      </c>
      <c r="B89" s="71"/>
      <c r="C89" s="71"/>
      <c r="D89" s="71"/>
      <c r="E89" s="71"/>
      <c r="F89" s="71"/>
      <c r="G89" s="71"/>
      <c r="H89" s="71"/>
      <c r="I89" s="72"/>
    </row>
    <row r="90" spans="1:9" ht="33.5" customHeight="1" x14ac:dyDescent="0.35">
      <c r="A90" s="70" t="s">
        <v>807</v>
      </c>
      <c r="B90" s="71"/>
      <c r="C90" s="71"/>
      <c r="D90" s="71"/>
      <c r="E90" s="71"/>
      <c r="F90" s="71"/>
      <c r="G90" s="71"/>
      <c r="H90" s="71"/>
      <c r="I90" s="72"/>
    </row>
    <row r="91" spans="1:9" ht="33.5" customHeight="1" x14ac:dyDescent="0.35">
      <c r="A91" s="70" t="s">
        <v>808</v>
      </c>
      <c r="B91" s="71"/>
      <c r="C91" s="71"/>
      <c r="D91" s="71"/>
      <c r="E91" s="71"/>
      <c r="F91" s="71"/>
      <c r="G91" s="71"/>
      <c r="H91" s="71"/>
      <c r="I91" s="72"/>
    </row>
    <row r="92" spans="1:9" ht="15" thickBot="1" x14ac:dyDescent="0.4">
      <c r="A92" s="64"/>
      <c r="B92" s="65"/>
      <c r="C92" s="65"/>
      <c r="D92" s="65"/>
      <c r="E92" s="65"/>
      <c r="F92" s="65"/>
      <c r="G92" s="65"/>
      <c r="H92" s="65"/>
      <c r="I92" s="66"/>
    </row>
  </sheetData>
  <mergeCells count="22">
    <mergeCell ref="B7:C7"/>
    <mergeCell ref="A87:I87"/>
    <mergeCell ref="A88:I88"/>
    <mergeCell ref="A89:I89"/>
    <mergeCell ref="A90:I90"/>
    <mergeCell ref="A91:I91"/>
    <mergeCell ref="G10:I10"/>
    <mergeCell ref="B1:I1"/>
    <mergeCell ref="B2:I2"/>
    <mergeCell ref="B4:C4"/>
    <mergeCell ref="B5:C5"/>
    <mergeCell ref="D4:E4"/>
    <mergeCell ref="D5:E5"/>
    <mergeCell ref="F4:G4"/>
    <mergeCell ref="F5:G5"/>
    <mergeCell ref="H4:I4"/>
    <mergeCell ref="H5:I5"/>
    <mergeCell ref="B8:C8"/>
    <mergeCell ref="D7:E7"/>
    <mergeCell ref="D8:E8"/>
    <mergeCell ref="F7:G7"/>
    <mergeCell ref="F8:G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B12" sqref="B12"/>
    </sheetView>
  </sheetViews>
  <sheetFormatPr defaultRowHeight="14.5" x14ac:dyDescent="0.35"/>
  <cols>
    <col min="1" max="1" width="37.1796875" bestFit="1" customWidth="1"/>
    <col min="2" max="2" width="94.54296875" bestFit="1" customWidth="1"/>
    <col min="3" max="3" width="7.453125" bestFit="1" customWidth="1"/>
    <col min="4" max="4" width="77.26953125" bestFit="1" customWidth="1"/>
  </cols>
  <sheetData>
    <row r="1" spans="1:4" x14ac:dyDescent="0.35">
      <c r="A1" s="1" t="s">
        <v>749</v>
      </c>
      <c r="B1" s="1" t="s">
        <v>750</v>
      </c>
      <c r="C1" s="1" t="s">
        <v>751</v>
      </c>
      <c r="D1" s="1" t="s">
        <v>752</v>
      </c>
    </row>
    <row r="2" spans="1:4" x14ac:dyDescent="0.35">
      <c r="A2" t="s">
        <v>753</v>
      </c>
      <c r="B2" t="s">
        <v>754</v>
      </c>
      <c r="C2">
        <v>500</v>
      </c>
      <c r="D2" t="s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Raw_Data</vt:lpstr>
      <vt:lpstr>Dashboard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Gourav Patidar</cp:lastModifiedBy>
  <cp:lastPrinted>2026-08-24T14:00:47Z</cp:lastPrinted>
  <dcterms:created xsi:type="dcterms:W3CDTF">2026-08-16T12:09:04Z</dcterms:created>
  <dcterms:modified xsi:type="dcterms:W3CDTF">2026-08-24T14:02:59Z</dcterms:modified>
</cp:coreProperties>
</file>